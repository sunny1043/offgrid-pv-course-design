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PV array design inputs (Lanzhou W5)</t>
        </is>
      </c>
      <c r="B2" t="inlineStr"/>
      <c r="C2" t="inlineStr"/>
    </row>
    <row r="3">
      <c r="A3" t="inlineStr">
        <is>
          <t>E_AC (kWh/d)</t>
        </is>
      </c>
      <c r="B3" t="n">
        <v>7.82</v>
      </c>
      <c r="C3" t="inlineStr">
        <is>
          <t>W1 winter design point</t>
        </is>
      </c>
    </row>
    <row r="4">
      <c r="A4" t="inlineStr">
        <is>
          <t>K_PV</t>
        </is>
      </c>
      <c r="B4" t="n">
        <v>1.1</v>
      </c>
      <c r="C4" t="inlineStr">
        <is>
          <t>capacity reserve factor</t>
        </is>
      </c>
    </row>
    <row r="5">
      <c r="A5" t="inlineStr">
        <is>
          <t>H_tilt,min (h/d)</t>
        </is>
      </c>
      <c r="B5" t="n">
        <v>3.24</v>
      </c>
      <c r="C5" t="inlineStr">
        <is>
          <t>worst month (tilt) W2</t>
        </is>
      </c>
    </row>
    <row r="6">
      <c r="A6" t="inlineStr">
        <is>
          <t>eta_path</t>
        </is>
      </c>
      <c r="B6" t="n">
        <v>0.782</v>
      </c>
      <c r="C6" t="inlineStr">
        <is>
          <t>W3</t>
        </is>
      </c>
    </row>
    <row r="7">
      <c r="A7" t="inlineStr">
        <is>
          <t>T_min (degC)</t>
        </is>
      </c>
      <c r="B7" t="n">
        <v>-23.1</v>
      </c>
      <c r="C7" t="inlineStr">
        <is>
          <t>extreme low W2</t>
        </is>
      </c>
    </row>
    <row r="8">
      <c r="A8" t="inlineStr">
        <is>
          <t>T_cell,max (degC)</t>
        </is>
      </c>
      <c r="B8" t="n">
        <v>70.40000000000001</v>
      </c>
      <c r="C8" t="inlineStr">
        <is>
          <t>T_amb+31.3</t>
        </is>
      </c>
    </row>
    <row r="9">
      <c r="A9" t="inlineStr">
        <is>
          <t>Module Voc STC (V)</t>
        </is>
      </c>
      <c r="B9" t="n">
        <v>52.22</v>
      </c>
      <c r="C9" t="inlineStr">
        <is>
          <t>LR7-72HGD-600M</t>
        </is>
      </c>
    </row>
    <row r="10">
      <c r="A10" t="inlineStr">
        <is>
          <t>Module Vmp STC (V)</t>
        </is>
      </c>
      <c r="B10" t="n">
        <v>44.12</v>
      </c>
      <c r="C10" t="inlineStr"/>
    </row>
    <row r="11">
      <c r="A11" t="inlineStr">
        <is>
          <t>Module Isc STC (A)</t>
        </is>
      </c>
      <c r="B11" t="n">
        <v>14.49</v>
      </c>
      <c r="C11" t="inlineStr"/>
    </row>
    <row r="12">
      <c r="A12" t="inlineStr">
        <is>
          <t>Module Impp STC (A)</t>
        </is>
      </c>
      <c r="B12" t="n">
        <v>13.6</v>
      </c>
      <c r="C12" t="inlineStr"/>
    </row>
    <row r="13">
      <c r="A13" t="inlineStr">
        <is>
          <t>beta_Voc (1/degC)</t>
        </is>
      </c>
      <c r="B13" t="n">
        <v>-0.0023</v>
      </c>
      <c r="C13" t="inlineStr"/>
    </row>
    <row r="14">
      <c r="A14" t="inlineStr">
        <is>
          <t>beta_Vmp (1/degC)</t>
        </is>
      </c>
      <c r="B14" t="n">
        <v>-0.0028</v>
      </c>
      <c r="C14" t="inlineStr"/>
    </row>
    <row r="15">
      <c r="A15" t="inlineStr">
        <is>
          <t>Module P (W)</t>
        </is>
      </c>
      <c r="B15" t="n">
        <v>600</v>
      </c>
      <c r="C15" t="inlineStr"/>
    </row>
    <row r="16">
      <c r="A16" t="inlineStr">
        <is>
          <t>MPPT V min (V)</t>
        </is>
      </c>
      <c r="B16" t="n">
        <v>120</v>
      </c>
      <c r="C16" t="inlineStr">
        <is>
          <t>Growatt SPF 5000 ES</t>
        </is>
      </c>
    </row>
    <row r="17">
      <c r="A17" t="inlineStr">
        <is>
          <t>MPPT V max (V)</t>
        </is>
      </c>
      <c r="B17" t="n">
        <v>430</v>
      </c>
      <c r="C17" t="inlineStr"/>
    </row>
    <row r="18">
      <c r="A18" t="inlineStr">
        <is>
          <t>Ctrl max PV input (V)</t>
        </is>
      </c>
      <c r="B18" t="n">
        <v>450</v>
      </c>
      <c r="C18" t="inlineStr"/>
    </row>
    <row r="19">
      <c r="A19" t="inlineStr">
        <is>
          <t>Ctrl max input current (A)</t>
        </is>
      </c>
      <c r="B19" t="n">
        <v>22</v>
      </c>
      <c r="C19" t="inlineStr"/>
    </row>
    <row r="20">
      <c r="A20" t="inlineStr">
        <is>
          <t>Ctrl max input power (W)</t>
        </is>
      </c>
      <c r="B20" t="n">
        <v>6000</v>
      </c>
      <c r="C20" t="inlineStr"/>
    </row>
    <row r="21">
      <c r="A21" t="inlineStr">
        <is>
          <t>Selected N_S</t>
        </is>
      </c>
      <c r="B21" t="n">
        <v>6</v>
      </c>
      <c r="C21" t="inlineStr"/>
    </row>
    <row r="22">
      <c r="A22" t="inlineStr">
        <is>
          <t>Selected N_P</t>
        </is>
      </c>
      <c r="B22" t="n">
        <v>1</v>
      </c>
      <c r="C22" t="inlineStr"/>
    </row>
    <row r="23">
      <c r="A23" t="inlineStr">
        <is>
          <t>Inverter units</t>
        </is>
      </c>
      <c r="B23" t="n">
        <v>1</v>
      </c>
      <c r="C23" t="inlineStr">
        <is>
          <t>1 or 2 (Harbin 2 units)</t>
        </is>
      </c>
    </row>
    <row r="24">
      <c r="A24" t="inlineStr">
        <is>
          <t>V_bat,chg (V)</t>
        </is>
      </c>
      <c r="B24" t="n">
        <v>54.4</v>
      </c>
      <c r="C24" t="inlineStr"/>
    </row>
    <row r="25">
      <c r="A25" t="inlineStr">
        <is>
          <t>I_ctrl per unit (A)</t>
        </is>
      </c>
      <c r="B25" t="n">
        <v>100</v>
      </c>
      <c r="C25" t="inlineStr"/>
    </row>
    <row r="26">
      <c r="A26" t="inlineStr">
        <is>
          <t>eta_MPPT</t>
        </is>
      </c>
      <c r="B26" t="n">
        <v>0.96</v>
      </c>
      <c r="C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Formula/Value</t>
        </is>
      </c>
      <c r="C1" s="1" t="inlineStr">
        <is>
          <t>Result</t>
        </is>
      </c>
      <c r="D1" s="1" t="inlineStr">
        <is>
          <t>Unit</t>
        </is>
      </c>
      <c r="E1" s="1" t="n"/>
    </row>
    <row r="2">
      <c r="A2" t="inlineStr">
        <is>
          <t>P_PV,min (kWp)</t>
        </is>
      </c>
      <c r="B2">
        <f>E_AC*K_PV/(H_tilt*eta_path)</f>
        <v/>
      </c>
      <c r="C2">
        <f>Parameters!B3*Parameters!B4/(Parameters!B5*Parameters!B6)</f>
        <v/>
      </c>
      <c r="D2" t="inlineStr">
        <is>
          <t>kWp</t>
        </is>
      </c>
    </row>
    <row r="3">
      <c r="A3" t="inlineStr">
        <is>
          <t>Voc,cold (V)</t>
        </is>
      </c>
      <c r="B3">
        <f>Voc_STC*(1+beta_Voc*(T_min-25))</f>
        <v/>
      </c>
      <c r="C3">
        <f>Parameters!B9*(1+Parameters!B13*(Parameters!B7-25))</f>
        <v/>
      </c>
      <c r="D3" t="inlineStr">
        <is>
          <t>V</t>
        </is>
      </c>
    </row>
    <row r="4">
      <c r="A4" t="inlineStr">
        <is>
          <t>Vmp,hot (V)</t>
        </is>
      </c>
      <c r="B4">
        <f>Vmp_STC*(1+beta_Vmp*(Tc-25))</f>
        <v/>
      </c>
      <c r="C4">
        <f>Parameters!B10*(1+Parameters!B14*(Parameters!B8-25))</f>
        <v/>
      </c>
      <c r="D4" t="inlineStr">
        <is>
          <t>V</t>
        </is>
      </c>
    </row>
    <row r="5">
      <c r="A5" t="inlineStr">
        <is>
          <t>Vmp,cold (V)</t>
        </is>
      </c>
      <c r="B5">
        <f>Vmp_STC*(1+beta_Vmp*(T_min-25))</f>
        <v/>
      </c>
      <c r="C5">
        <f>Parameters!B10*(1+Parameters!B14*(Parameters!B7-25))</f>
        <v/>
      </c>
      <c r="D5" t="inlineStr">
        <is>
          <t>V</t>
        </is>
      </c>
    </row>
    <row r="6">
      <c r="A6" t="inlineStr">
        <is>
          <t>N_S,min</t>
        </is>
      </c>
      <c r="B6">
        <f>CEILING(V_MPPT_min/Vmp_hot,1)</f>
        <v/>
      </c>
      <c r="C6">
        <f>CEILING(Parameters!B16/C4,1)</f>
        <v/>
      </c>
      <c r="D6" t="inlineStr">
        <is>
          <t>串</t>
        </is>
      </c>
    </row>
    <row r="7">
      <c r="A7" t="inlineStr">
        <is>
          <t>N_S,max</t>
        </is>
      </c>
      <c r="B7">
        <f>FLOOR(V_ctrl_max/Voc_cold,1)</f>
        <v/>
      </c>
      <c r="C7">
        <f>FLOOR(Parameters!B18/C3,1)</f>
        <v/>
      </c>
      <c r="D7" t="inlineStr">
        <is>
          <t>串</t>
        </is>
      </c>
    </row>
    <row r="8">
      <c r="A8" t="inlineStr">
        <is>
          <t>Actual P_PV (kWp)</t>
        </is>
      </c>
      <c r="B8">
        <f>N_S*N_P*P_mod/1000</f>
        <v/>
      </c>
      <c r="C8">
        <f>Parameters!B21*Parameters!B22*Parameters!B15/1000</f>
        <v/>
      </c>
      <c r="D8" t="inlineStr">
        <is>
          <t>kWp</t>
        </is>
      </c>
    </row>
    <row r="9">
      <c r="A9" t="inlineStr">
        <is>
          <t>String Voc,cold (V)</t>
        </is>
      </c>
      <c r="B9">
        <f>N_S*Voc_cold</f>
        <v/>
      </c>
      <c r="C9">
        <f>Parameters!B21*C3</f>
        <v/>
      </c>
      <c r="D9" t="inlineStr">
        <is>
          <t>V</t>
        </is>
      </c>
    </row>
    <row r="10">
      <c r="A10" t="inlineStr">
        <is>
          <t>String Vmp,hot (V)</t>
        </is>
      </c>
      <c r="B10">
        <f>N_S*Vmp_hot</f>
        <v/>
      </c>
      <c r="C10">
        <f>Parameters!B21*C4</f>
        <v/>
      </c>
      <c r="D10" t="inlineStr">
        <is>
          <t>V</t>
        </is>
      </c>
    </row>
    <row r="11">
      <c r="A11" t="inlineStr">
        <is>
          <t>String Vmp,cold (V)</t>
        </is>
      </c>
      <c r="B11">
        <f>N_S*Vmp_cold</f>
        <v/>
      </c>
      <c r="C11">
        <f>Parameters!B21*C5</f>
        <v/>
      </c>
      <c r="D11" t="inlineStr">
        <is>
          <t>V</t>
        </is>
      </c>
    </row>
    <row r="12">
      <c r="A12" t="inlineStr">
        <is>
          <t>Per-unit power (kW)</t>
        </is>
      </c>
      <c r="B12">
        <f>P_PV/units</f>
        <v/>
      </c>
      <c r="C12">
        <f>C8/Parameters!B23</f>
        <v/>
      </c>
      <c r="D12" t="inlineStr">
        <is>
          <t>kW</t>
        </is>
      </c>
    </row>
    <row r="13">
      <c r="A13" t="inlineStr">
        <is>
          <t>I_chg per unit (A)</t>
        </is>
      </c>
      <c r="B13">
        <f>MIN(perunit*eta_MPPT*1000/V_bat_chg, I_ctrl)</f>
        <v/>
      </c>
      <c r="C13">
        <f>ROUND(MIN(C12*Parameters!B26*1000/Parameters!B24,Parameters!B25),1)</f>
        <v/>
      </c>
      <c r="D13" t="inlineStr">
        <is>
          <t>A</t>
        </is>
      </c>
    </row>
    <row r="14">
      <c r="A14" t="inlineStr">
        <is>
          <t>I_chg total (A)</t>
        </is>
      </c>
      <c r="B14">
        <f>I_chg_unit*units</f>
        <v/>
      </c>
      <c r="C14">
        <f>C13*Parameters!B23</f>
        <v/>
      </c>
      <c r="D14" t="inlineStr">
        <is>
          <t>A</t>
        </is>
      </c>
    </row>
    <row r="16">
      <c r="A16" s="2" t="inlineStr">
        <is>
          <t>Monthly review (P_PV=3.6 kWp)</t>
        </is>
      </c>
      <c r="B16" s="2" t="inlineStr"/>
      <c r="C16" s="2" t="inlineStr"/>
      <c r="D16" s="2" t="inlineStr"/>
      <c r="E16" s="2" t="n"/>
    </row>
    <row r="17">
      <c r="A17" t="n">
        <v>1</v>
      </c>
      <c r="B17" t="n">
        <v>3.39</v>
      </c>
      <c r="C17">
        <f>C8*B17*Parameters!B6</f>
        <v/>
      </c>
      <c r="D17" t="n">
        <v>7.82</v>
      </c>
      <c r="E17">
        <f>C17/D17</f>
        <v/>
      </c>
    </row>
    <row r="18">
      <c r="A18" t="n">
        <v>2</v>
      </c>
      <c r="B18" t="n">
        <v>4.22</v>
      </c>
      <c r="C18">
        <f>C8*B18*Parameters!B6</f>
        <v/>
      </c>
      <c r="D18" t="n">
        <v>7.82</v>
      </c>
      <c r="E18">
        <f>C18/D18</f>
        <v/>
      </c>
    </row>
    <row r="19">
      <c r="A19" t="n">
        <v>3</v>
      </c>
      <c r="B19" t="n">
        <v>5.37</v>
      </c>
      <c r="C19">
        <f>C8*B19*Parameters!B6</f>
        <v/>
      </c>
      <c r="D19" t="n">
        <v>7.82</v>
      </c>
      <c r="E19">
        <f>C19/D19</f>
        <v/>
      </c>
    </row>
    <row r="20">
      <c r="A20" t="n">
        <v>4</v>
      </c>
      <c r="B20" t="n">
        <v>6.13</v>
      </c>
      <c r="C20">
        <f>C8*B20*Parameters!B6</f>
        <v/>
      </c>
      <c r="D20" t="n">
        <v>4.82</v>
      </c>
      <c r="E20">
        <f>C20/D20</f>
        <v/>
      </c>
    </row>
    <row r="21">
      <c r="A21" t="n">
        <v>5</v>
      </c>
      <c r="B21" t="n">
        <v>6.74</v>
      </c>
      <c r="C21">
        <f>C8*B21*Parameters!B6</f>
        <v/>
      </c>
      <c r="D21" t="n">
        <v>3.62</v>
      </c>
      <c r="E21">
        <f>C21/D21</f>
        <v/>
      </c>
    </row>
    <row r="22">
      <c r="A22" t="n">
        <v>6</v>
      </c>
      <c r="B22" t="n">
        <v>6.67</v>
      </c>
      <c r="C22">
        <f>C8*B22*Parameters!B6</f>
        <v/>
      </c>
      <c r="D22" t="n">
        <v>4.97</v>
      </c>
      <c r="E22">
        <f>C22/D22</f>
        <v/>
      </c>
    </row>
    <row r="23">
      <c r="A23" t="n">
        <v>7</v>
      </c>
      <c r="B23" t="n">
        <v>7.1</v>
      </c>
      <c r="C23">
        <f>C8*B23*Parameters!B6</f>
        <v/>
      </c>
      <c r="D23" t="n">
        <v>4.97</v>
      </c>
      <c r="E23">
        <f>C23/D23</f>
        <v/>
      </c>
    </row>
    <row r="24">
      <c r="A24" t="n">
        <v>8</v>
      </c>
      <c r="B24" t="n">
        <v>5.81</v>
      </c>
      <c r="C24">
        <f>C8*B24*Parameters!B6</f>
        <v/>
      </c>
      <c r="D24" t="n">
        <v>4.97</v>
      </c>
      <c r="E24">
        <f>C24/D24</f>
        <v/>
      </c>
    </row>
    <row r="25">
      <c r="A25" t="n">
        <v>9</v>
      </c>
      <c r="B25" t="n">
        <v>5.15</v>
      </c>
      <c r="C25">
        <f>C8*B25*Parameters!B6</f>
        <v/>
      </c>
      <c r="D25" t="n">
        <v>3.62</v>
      </c>
      <c r="E25">
        <f>C25/D25</f>
        <v/>
      </c>
    </row>
    <row r="26">
      <c r="A26" t="n">
        <v>10</v>
      </c>
      <c r="B26" t="n">
        <v>3.92</v>
      </c>
      <c r="C26">
        <f>C8*B26*Parameters!B6</f>
        <v/>
      </c>
      <c r="D26" t="n">
        <v>4.82</v>
      </c>
      <c r="E26">
        <f>C26/D26</f>
        <v/>
      </c>
    </row>
    <row r="27">
      <c r="A27" t="n">
        <v>11</v>
      </c>
      <c r="B27" t="n">
        <v>3.68</v>
      </c>
      <c r="C27">
        <f>C8*B27*Parameters!B6</f>
        <v/>
      </c>
      <c r="D27" t="n">
        <v>7.82</v>
      </c>
      <c r="E27">
        <f>C27/D27</f>
        <v/>
      </c>
    </row>
    <row r="28">
      <c r="A28" t="n">
        <v>12</v>
      </c>
      <c r="B28" t="n">
        <v>3.24</v>
      </c>
      <c r="C28">
        <f>C8*B28*Parameters!B6</f>
        <v/>
      </c>
      <c r="D28" t="n">
        <v>7.82</v>
      </c>
      <c r="E28">
        <f>C28/D28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2" t="inlineStr">
        <is>
          <t>Item</t>
        </is>
      </c>
      <c r="B1" s="2" t="inlineStr">
        <is>
          <t>Computed</t>
        </is>
      </c>
      <c r="C1" s="2" t="inlineStr">
        <is>
          <t>Allowed</t>
        </is>
      </c>
      <c r="D1" s="2" t="inlineStr">
        <is>
          <t>Result</t>
        </is>
      </c>
    </row>
    <row r="2">
      <c r="A2" t="inlineStr">
        <is>
          <t>String Voc,cold &lt;=450V</t>
        </is>
      </c>
      <c r="B2">
        <f>Calc!C9</f>
        <v/>
      </c>
      <c r="C2" t="inlineStr">
        <is>
          <t>450</t>
        </is>
      </c>
      <c r="D2">
        <f>IF(Calc!C9&lt;=450,"OK","FAIL")</f>
        <v/>
      </c>
    </row>
    <row r="3">
      <c r="A3" t="inlineStr">
        <is>
          <t>String Voc,cold &lt;=430V</t>
        </is>
      </c>
      <c r="B3">
        <f>Calc!C9</f>
        <v/>
      </c>
      <c r="C3" t="inlineStr">
        <is>
          <t>430</t>
        </is>
      </c>
      <c r="D3">
        <f>IF(Calc!C9&lt;=430,"OK","FAIL")</f>
        <v/>
      </c>
    </row>
    <row r="4">
      <c r="A4" t="inlineStr">
        <is>
          <t>String Vmp,hot &gt;=120V</t>
        </is>
      </c>
      <c r="B4">
        <f>Calc!C10</f>
        <v/>
      </c>
      <c r="C4" t="inlineStr">
        <is>
          <t>120</t>
        </is>
      </c>
      <c r="D4">
        <f>IF(Calc!C10&gt;=120,"OK","FAIL")</f>
        <v/>
      </c>
    </row>
    <row r="5">
      <c r="A5" t="inlineStr">
        <is>
          <t>String Vmp,cold &lt;=430V</t>
        </is>
      </c>
      <c r="B5">
        <f>Calc!C11</f>
        <v/>
      </c>
      <c r="C5" t="inlineStr">
        <is>
          <t>430</t>
        </is>
      </c>
      <c r="D5">
        <f>IF(Calc!C11&lt;=430,"OK","FAIL")</f>
        <v/>
      </c>
    </row>
    <row r="6">
      <c r="A6" t="inlineStr">
        <is>
          <t>N_S in range</t>
        </is>
      </c>
      <c r="B6">
        <f>Parameters!B21</f>
        <v/>
      </c>
      <c r="C6">
        <f>Calc!C6..C7</f>
        <v/>
      </c>
      <c r="D6">
        <f>IF(AND(Parameters!B21&gt;=Calc!C6,Parameters!B21&lt;=Calc!C7),"OK","FAIL")</f>
        <v/>
      </c>
    </row>
    <row r="7">
      <c r="A7" t="inlineStr">
        <is>
          <t>Per-unit Isc &lt;=22A</t>
        </is>
      </c>
      <c r="B7">
        <f>Parameters!B11</f>
        <v/>
      </c>
      <c r="C7" t="inlineStr">
        <is>
          <t>22</t>
        </is>
      </c>
      <c r="D7">
        <f>IF(Parameters!B11&lt;=Parameters!B19,"OK","FAIL")</f>
        <v/>
      </c>
    </row>
    <row r="8">
      <c r="A8" t="inlineStr">
        <is>
          <t>Per-unit Imp &lt;=22A</t>
        </is>
      </c>
      <c r="B8">
        <f>Parameters!B12</f>
        <v/>
      </c>
      <c r="C8" t="inlineStr">
        <is>
          <t>22</t>
        </is>
      </c>
      <c r="D8">
        <f>IF(Parameters!B12&lt;=Parameters!B19,"OK","FAIL")</f>
        <v/>
      </c>
    </row>
    <row r="9">
      <c r="A9" t="inlineStr">
        <is>
          <t>Per-unit power &lt;=6000W</t>
        </is>
      </c>
      <c r="B9">
        <f>Calc!C12*1000</f>
        <v/>
      </c>
      <c r="C9" t="inlineStr">
        <is>
          <t>6000</t>
        </is>
      </c>
      <c r="D9">
        <f>IF(Calc!C12*1000&lt;=Parameters!B20,"OK","FAIL")</f>
        <v/>
      </c>
    </row>
    <row r="10">
      <c r="A10" t="inlineStr">
        <is>
          <t>I_chg total &lt;= units*100A</t>
        </is>
      </c>
      <c r="B10">
        <f>Calc!C14</f>
        <v/>
      </c>
      <c r="C10">
        <f>Parameters!B23*100</f>
        <v/>
      </c>
      <c r="D10">
        <f>IF(Calc!C14&lt;=Parameters!B23*Parameters!B25,"OK","FAIL")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2026-09-02T04:54:21Z</dcterms:created>
  <dcterms:modified xmlns:dcterms="http://purl.org/dc/terms/" xmlns:xsi="http://www.w3.org/2001/XMLSchema-instance" xsi:type="dcterms:W3CDTF">2026-09-02T04:54:21Z</dcterms:modified>
</cp:coreProperties>
</file>