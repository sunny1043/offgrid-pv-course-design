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8" customWidth="1" min="4" max="4"/>
    <col width="6" customWidth="1" min="5" max="5"/>
    <col width="10" customWidth="1" min="6" max="6"/>
    <col width="10" customWidth="1" min="7" max="7"/>
  </cols>
  <sheetData>
    <row r="1">
      <c r="A1" s="1" t="inlineStr">
        <is>
          <t>类别</t>
        </is>
      </c>
      <c r="B1" s="1" t="inlineStr">
        <is>
          <t>设备/材料</t>
        </is>
      </c>
      <c r="C1" s="1" t="inlineStr">
        <is>
          <t>规格型号</t>
        </is>
      </c>
      <c r="D1" s="1" t="inlineStr">
        <is>
          <t>数量</t>
        </is>
      </c>
      <c r="E1" s="1" t="inlineStr">
        <is>
          <t>单位</t>
        </is>
      </c>
      <c r="F1" s="1" t="inlineStr">
        <is>
          <t>单价(¥)</t>
        </is>
      </c>
      <c r="G1" s="1" t="inlineStr">
        <is>
          <t>小计(¥)</t>
        </is>
      </c>
    </row>
    <row r="2">
      <c r="A2" s="2" t="inlineStr">
        <is>
          <t>光伏阵列</t>
        </is>
      </c>
      <c r="B2" s="2" t="inlineStr">
        <is>
          <t>光伏组件</t>
        </is>
      </c>
      <c r="C2" s="2" t="inlineStr">
        <is>
          <t>LR7-72HGD-600M 600W</t>
        </is>
      </c>
      <c r="D2" s="2" t="n">
        <v>5</v>
      </c>
      <c r="E2" s="2" t="inlineStr">
        <is>
          <t>块</t>
        </is>
      </c>
      <c r="F2" s="2" t="n">
        <v>650</v>
      </c>
      <c r="G2" s="2">
        <f>F2*D2</f>
        <v/>
      </c>
    </row>
    <row r="3">
      <c r="A3" s="2" t="inlineStr">
        <is>
          <t>光伏阵列</t>
        </is>
      </c>
      <c r="B3" s="2" t="inlineStr">
        <is>
          <t>MC4 连接器</t>
        </is>
      </c>
      <c r="C3" s="2" t="inlineStr">
        <is>
          <t>光伏专用</t>
        </is>
      </c>
      <c r="D3" s="2" t="n">
        <v>10</v>
      </c>
      <c r="E3" s="2" t="inlineStr">
        <is>
          <t>对</t>
        </is>
      </c>
      <c r="F3" s="2" t="n">
        <v>16</v>
      </c>
      <c r="G3" s="2">
        <f>F3*D3</f>
        <v/>
      </c>
    </row>
    <row r="4">
      <c r="A4" s="2" t="inlineStr">
        <is>
          <t>支架</t>
        </is>
      </c>
      <c r="B4" s="2" t="inlineStr">
        <is>
          <t>铝合金支架系统</t>
        </is>
      </c>
      <c r="C4" s="2" t="inlineStr">
        <is>
          <t>APAS P8-2080 6063-T5（5块30°）</t>
        </is>
      </c>
      <c r="D4" s="2" t="n">
        <v>1</v>
      </c>
      <c r="E4" s="2" t="inlineStr">
        <is>
          <t>套</t>
        </is>
      </c>
      <c r="F4" s="2" t="n">
        <v>1500</v>
      </c>
      <c r="G4" s="2">
        <f>F4*D4</f>
        <v/>
      </c>
    </row>
    <row r="5">
      <c r="A5" s="2" t="inlineStr">
        <is>
          <t>控制和变换</t>
        </is>
      </c>
      <c r="B5" s="2" t="inlineStr">
        <is>
          <t>离网逆变器(含MPPT)</t>
        </is>
      </c>
      <c r="C5" s="2" t="inlineStr">
        <is>
          <t>Growatt SPF 5000 ES</t>
        </is>
      </c>
      <c r="D5" s="2" t="n">
        <v>1</v>
      </c>
      <c r="E5" s="2" t="inlineStr">
        <is>
          <t>台</t>
        </is>
      </c>
      <c r="F5" s="2" t="n">
        <v>2200</v>
      </c>
      <c r="G5" s="2">
        <f>F5*D5</f>
        <v/>
      </c>
    </row>
    <row r="6">
      <c r="A6" s="2" t="inlineStr">
        <is>
          <t>蓄电池</t>
        </is>
      </c>
      <c r="B6" s="2" t="inlineStr">
        <is>
          <t>磷酸铁锂模块</t>
        </is>
      </c>
      <c r="C6" s="2" t="inlineStr">
        <is>
          <t>BNP-5120BM 51.2V/100Ah</t>
        </is>
      </c>
      <c r="D6" s="2" t="n">
        <v>5</v>
      </c>
      <c r="E6" s="2" t="inlineStr">
        <is>
          <t>台</t>
        </is>
      </c>
      <c r="F6" s="2" t="n">
        <v>4000</v>
      </c>
      <c r="G6" s="2">
        <f>F6*D6</f>
        <v/>
      </c>
    </row>
    <row r="7">
      <c r="A7" s="2" t="inlineStr">
        <is>
          <t>蓄电池</t>
        </is>
      </c>
      <c r="B7" s="2" t="inlineStr">
        <is>
          <t>电池柜</t>
        </is>
      </c>
      <c r="C7" s="2" t="inlineStr">
        <is>
          <t>19"机柜</t>
        </is>
      </c>
      <c r="D7" s="2" t="n">
        <v>1</v>
      </c>
      <c r="E7" s="2" t="inlineStr">
        <is>
          <t>个</t>
        </is>
      </c>
      <c r="F7" s="2" t="n">
        <v>1000</v>
      </c>
      <c r="G7" s="2">
        <f>F7*D7</f>
        <v/>
      </c>
    </row>
    <row r="8">
      <c r="A8" s="2" t="inlineStr">
        <is>
          <t>蓄电池</t>
        </is>
      </c>
      <c r="B8" s="2" t="inlineStr">
        <is>
          <t>母排/连接件</t>
        </is>
      </c>
      <c r="C8" s="2" t="inlineStr">
        <is>
          <t>等长等截面铜排</t>
        </is>
      </c>
      <c r="D8" s="2" t="n">
        <v>1</v>
      </c>
      <c r="E8" s="2" t="inlineStr">
        <is>
          <t>套</t>
        </is>
      </c>
      <c r="F8" s="2" t="n">
        <v>350</v>
      </c>
      <c r="G8" s="2">
        <f>F8*D8</f>
        <v/>
      </c>
    </row>
    <row r="9">
      <c r="A9" s="2" t="inlineStr">
        <is>
          <t>直流保护</t>
        </is>
      </c>
      <c r="B9" s="2" t="inlineStr">
        <is>
          <t>组串熔断器</t>
        </is>
      </c>
      <c r="C9" s="2" t="inlineStr">
        <is>
          <t>25A gPV</t>
        </is>
      </c>
      <c r="D9" s="2" t="n">
        <v>1</v>
      </c>
      <c r="E9" s="2" t="inlineStr">
        <is>
          <t>个</t>
        </is>
      </c>
      <c r="F9" s="2" t="n">
        <v>40</v>
      </c>
      <c r="G9" s="2">
        <f>F9*D9</f>
        <v/>
      </c>
    </row>
    <row r="10">
      <c r="A10" s="2" t="inlineStr">
        <is>
          <t>直流保护</t>
        </is>
      </c>
      <c r="B10" s="2" t="inlineStr">
        <is>
          <t>直流隔离开关</t>
        </is>
      </c>
      <c r="C10" s="2" t="inlineStr">
        <is>
          <t>2P 600Vdc</t>
        </is>
      </c>
      <c r="D10" s="2" t="n">
        <v>1</v>
      </c>
      <c r="E10" s="2" t="inlineStr">
        <is>
          <t>个</t>
        </is>
      </c>
      <c r="F10" s="2" t="n">
        <v>180</v>
      </c>
      <c r="G10" s="2">
        <f>F10*D10</f>
        <v/>
      </c>
    </row>
    <row r="11">
      <c r="A11" s="2" t="inlineStr">
        <is>
          <t>直流保护</t>
        </is>
      </c>
      <c r="B11" s="2" t="inlineStr">
        <is>
          <t>直流SPD</t>
        </is>
      </c>
      <c r="C11" s="2" t="inlineStr">
        <is>
          <t>Type II 1000Vdc</t>
        </is>
      </c>
      <c r="D11" s="2" t="n">
        <v>1</v>
      </c>
      <c r="E11" s="2" t="inlineStr">
        <is>
          <t>个</t>
        </is>
      </c>
      <c r="F11" s="2" t="n">
        <v>220</v>
      </c>
      <c r="G11" s="2">
        <f>F11*D11</f>
        <v/>
      </c>
    </row>
    <row r="12">
      <c r="A12" s="2" t="inlineStr">
        <is>
          <t>直流保护</t>
        </is>
      </c>
      <c r="B12" s="2" t="inlineStr">
        <is>
          <t>电池支路熔断器</t>
        </is>
      </c>
      <c r="C12" s="2" t="inlineStr">
        <is>
          <t>100A gPV</t>
        </is>
      </c>
      <c r="D12" s="2" t="n">
        <v>5</v>
      </c>
      <c r="E12" s="2" t="inlineStr">
        <is>
          <t>个</t>
        </is>
      </c>
      <c r="F12" s="2" t="n">
        <v>35</v>
      </c>
      <c r="G12" s="2">
        <f>F12*D12</f>
        <v/>
      </c>
    </row>
    <row r="13">
      <c r="A13" s="2" t="inlineStr">
        <is>
          <t>直流保护</t>
        </is>
      </c>
      <c r="B13" s="2" t="inlineStr">
        <is>
          <t>电池总保护</t>
        </is>
      </c>
      <c r="C13" s="2" t="inlineStr">
        <is>
          <t>160A DC MCB</t>
        </is>
      </c>
      <c r="D13" s="2" t="n">
        <v>1</v>
      </c>
      <c r="E13" s="2" t="inlineStr">
        <is>
          <t>个</t>
        </is>
      </c>
      <c r="F13" s="2" t="n">
        <v>450</v>
      </c>
      <c r="G13" s="2">
        <f>F13*D13</f>
        <v/>
      </c>
    </row>
    <row r="14">
      <c r="A14" s="2" t="inlineStr">
        <is>
          <t>直流保护</t>
        </is>
      </c>
      <c r="B14" s="2" t="inlineStr">
        <is>
          <t>MPPT→电池保护</t>
        </is>
      </c>
      <c r="C14" s="2" t="inlineStr">
        <is>
          <t>63A MCB</t>
        </is>
      </c>
      <c r="D14" s="2" t="n">
        <v>1</v>
      </c>
      <c r="E14" s="2" t="inlineStr">
        <is>
          <t>个</t>
        </is>
      </c>
      <c r="F14" s="2" t="n">
        <v>160</v>
      </c>
      <c r="G14" s="2">
        <f>F14*D14</f>
        <v/>
      </c>
    </row>
    <row r="15">
      <c r="A15" s="2" t="inlineStr">
        <is>
          <t>交流配电</t>
        </is>
      </c>
      <c r="B15" s="2" t="inlineStr">
        <is>
          <t>配电箱DB</t>
        </is>
      </c>
      <c r="C15" s="2" t="inlineStr">
        <is>
          <t>含汇排/端子</t>
        </is>
      </c>
      <c r="D15" s="2" t="n">
        <v>1</v>
      </c>
      <c r="E15" s="2" t="inlineStr">
        <is>
          <t>个</t>
        </is>
      </c>
      <c r="F15" s="2" t="n">
        <v>320</v>
      </c>
      <c r="G15" s="2">
        <f>F15*D15</f>
        <v/>
      </c>
    </row>
    <row r="16">
      <c r="A16" s="2" t="inlineStr">
        <is>
          <t>交流配电</t>
        </is>
      </c>
      <c r="B16" s="2" t="inlineStr">
        <is>
          <t>输出MCB</t>
        </is>
      </c>
      <c r="C16" s="2" t="inlineStr">
        <is>
          <t>32A C曲线</t>
        </is>
      </c>
      <c r="D16" s="2" t="n">
        <v>1</v>
      </c>
      <c r="E16" s="2" t="inlineStr">
        <is>
          <t>个</t>
        </is>
      </c>
      <c r="F16" s="2" t="n">
        <v>60</v>
      </c>
      <c r="G16" s="2">
        <f>F16*D16</f>
        <v/>
      </c>
    </row>
    <row r="17">
      <c r="A17" s="2" t="inlineStr">
        <is>
          <t>交流配电</t>
        </is>
      </c>
      <c r="B17" s="2" t="inlineStr">
        <is>
          <t>RCD</t>
        </is>
      </c>
      <c r="C17" s="2" t="inlineStr">
        <is>
          <t>30mA</t>
        </is>
      </c>
      <c r="D17" s="2" t="n">
        <v>1</v>
      </c>
      <c r="E17" s="2" t="inlineStr">
        <is>
          <t>个</t>
        </is>
      </c>
      <c r="F17" s="2" t="n">
        <v>120</v>
      </c>
      <c r="G17" s="2">
        <f>F17*D17</f>
        <v/>
      </c>
    </row>
    <row r="18">
      <c r="A18" s="2" t="inlineStr">
        <is>
          <t>交流配电</t>
        </is>
      </c>
      <c r="B18" s="2" t="inlineStr">
        <is>
          <t>交流SPD</t>
        </is>
      </c>
      <c r="C18" s="2" t="inlineStr">
        <is>
          <t>Type II 220V</t>
        </is>
      </c>
      <c r="D18" s="2" t="n">
        <v>1</v>
      </c>
      <c r="E18" s="2" t="inlineStr">
        <is>
          <t>个</t>
        </is>
      </c>
      <c r="F18" s="2" t="n">
        <v>200</v>
      </c>
      <c r="G18" s="2">
        <f>F18*D18</f>
        <v/>
      </c>
    </row>
    <row r="19">
      <c r="A19" s="2" t="inlineStr">
        <is>
          <t>交流配电</t>
        </is>
      </c>
      <c r="B19" s="2" t="inlineStr">
        <is>
          <t>末端MCB</t>
        </is>
      </c>
      <c r="C19" s="2" t="inlineStr">
        <is>
          <t>10/20/10/16A</t>
        </is>
      </c>
      <c r="D19" s="2" t="n">
        <v>4</v>
      </c>
      <c r="E19" s="2" t="inlineStr">
        <is>
          <t>个</t>
        </is>
      </c>
      <c r="F19" s="2" t="n">
        <v>25</v>
      </c>
      <c r="G19" s="2">
        <f>F19*D19</f>
        <v/>
      </c>
    </row>
    <row r="20">
      <c r="A20" s="2" t="inlineStr">
        <is>
          <t>线缆和接地</t>
        </is>
      </c>
      <c r="B20" s="2" t="inlineStr">
        <is>
          <t>PV1-F 光伏线</t>
        </is>
      </c>
      <c r="C20" s="2" t="inlineStr">
        <is>
          <t>4mm²</t>
        </is>
      </c>
      <c r="D20" s="2" t="n">
        <v>20</v>
      </c>
      <c r="E20" s="2" t="inlineStr">
        <is>
          <t>m</t>
        </is>
      </c>
      <c r="F20" s="2" t="n">
        <v>5</v>
      </c>
      <c r="G20" s="2">
        <f>F20*D20</f>
        <v/>
      </c>
    </row>
    <row r="21">
      <c r="A21" s="2" t="inlineStr">
        <is>
          <t>线缆和接地</t>
        </is>
      </c>
      <c r="B21" s="2" t="inlineStr">
        <is>
          <t>RV软线</t>
        </is>
      </c>
      <c r="C21" s="2" t="inlineStr">
        <is>
          <t>16mm²(MPPT→电池)</t>
        </is>
      </c>
      <c r="D21" s="2" t="n">
        <v>3</v>
      </c>
      <c r="E21" s="2" t="inlineStr">
        <is>
          <t>m</t>
        </is>
      </c>
      <c r="F21" s="2" t="n">
        <v>20</v>
      </c>
      <c r="G21" s="2">
        <f>F21*D21</f>
        <v/>
      </c>
    </row>
    <row r="22">
      <c r="A22" s="2" t="inlineStr">
        <is>
          <t>线缆和接地</t>
        </is>
      </c>
      <c r="B22" s="2" t="inlineStr">
        <is>
          <t>RV软线</t>
        </is>
      </c>
      <c r="C22" s="2" t="inlineStr">
        <is>
          <t>70mm²(电池→逆变)</t>
        </is>
      </c>
      <c r="D22" s="2" t="n">
        <v>2</v>
      </c>
      <c r="E22" s="2" t="inlineStr">
        <is>
          <t>m</t>
        </is>
      </c>
      <c r="F22" s="2" t="n">
        <v>65</v>
      </c>
      <c r="G22" s="2">
        <f>F22*D22</f>
        <v/>
      </c>
    </row>
    <row r="23">
      <c r="A23" s="2" t="inlineStr">
        <is>
          <t>线缆和接地</t>
        </is>
      </c>
      <c r="B23" s="2" t="inlineStr">
        <is>
          <t>RVV软线</t>
        </is>
      </c>
      <c r="C23" s="2" t="inlineStr">
        <is>
          <t>6mm²(逆变→配电)</t>
        </is>
      </c>
      <c r="D23" s="2" t="n">
        <v>5</v>
      </c>
      <c r="E23" s="2" t="inlineStr">
        <is>
          <t>m</t>
        </is>
      </c>
      <c r="F23" s="2" t="n">
        <v>10</v>
      </c>
      <c r="G23" s="2">
        <f>F23*D23</f>
        <v/>
      </c>
    </row>
    <row r="24">
      <c r="A24" s="2" t="inlineStr">
        <is>
          <t>线缆和接地</t>
        </is>
      </c>
      <c r="B24" s="2" t="inlineStr">
        <is>
          <t>BV线</t>
        </is>
      </c>
      <c r="C24" s="2" t="inlineStr">
        <is>
          <t>2.5mm²</t>
        </is>
      </c>
      <c r="D24" s="2" t="n">
        <v>40</v>
      </c>
      <c r="E24" s="2" t="inlineStr">
        <is>
          <t>m</t>
        </is>
      </c>
      <c r="F24" s="2" t="n">
        <v>3.5</v>
      </c>
      <c r="G24" s="2">
        <f>F24*D24</f>
        <v/>
      </c>
    </row>
    <row r="25">
      <c r="A25" s="2" t="inlineStr">
        <is>
          <t>线缆和接地</t>
        </is>
      </c>
      <c r="B25" s="2" t="inlineStr">
        <is>
          <t>BV线</t>
        </is>
      </c>
      <c r="C25" s="2" t="inlineStr">
        <is>
          <t>4mm²</t>
        </is>
      </c>
      <c r="D25" s="2" t="n">
        <v>30</v>
      </c>
      <c r="E25" s="2" t="inlineStr">
        <is>
          <t>m</t>
        </is>
      </c>
      <c r="F25" s="2" t="n">
        <v>5.5</v>
      </c>
      <c r="G25" s="2">
        <f>F25*D25</f>
        <v/>
      </c>
    </row>
    <row r="26">
      <c r="A26" s="2" t="inlineStr">
        <is>
          <t>线缆和接地</t>
        </is>
      </c>
      <c r="B26" s="2" t="inlineStr">
        <is>
          <t>接地线</t>
        </is>
      </c>
      <c r="C26" s="2" t="inlineStr">
        <is>
          <t>≥6mm²</t>
        </is>
      </c>
      <c r="D26" s="2" t="n">
        <v>10</v>
      </c>
      <c r="E26" s="2" t="inlineStr">
        <is>
          <t>m</t>
        </is>
      </c>
      <c r="F26" s="2" t="n">
        <v>6</v>
      </c>
      <c r="G26" s="2">
        <f>F26*D26</f>
        <v/>
      </c>
    </row>
    <row r="27">
      <c r="A27" s="2" t="inlineStr">
        <is>
          <t>线缆和接地</t>
        </is>
      </c>
      <c r="B27" s="2" t="inlineStr">
        <is>
          <t>桥架/穿线管</t>
        </is>
      </c>
      <c r="C27" s="2" t="inlineStr">
        <is>
          <t>耐UV</t>
        </is>
      </c>
      <c r="D27" s="2" t="n">
        <v>1</v>
      </c>
      <c r="E27" s="2" t="inlineStr">
        <is>
          <t>套</t>
        </is>
      </c>
      <c r="F27" s="2" t="n">
        <v>350</v>
      </c>
      <c r="G27" s="2">
        <f>F27*D27</f>
        <v/>
      </c>
    </row>
    <row r="28">
      <c r="A28" s="2" t="inlineStr">
        <is>
          <t>设备间保温</t>
        </is>
      </c>
      <c r="B28" s="2" t="inlineStr">
        <is>
          <t>保温层+电伴热</t>
        </is>
      </c>
      <c r="C28" s="2" t="inlineStr">
        <is>
          <t>设备间≥10℃</t>
        </is>
      </c>
      <c r="D28" s="2" t="n">
        <v>1</v>
      </c>
      <c r="E28" s="2" t="inlineStr">
        <is>
          <t>套</t>
        </is>
      </c>
      <c r="F28" s="2" t="n">
        <v>800</v>
      </c>
      <c r="G28" s="2">
        <f>F28*D28</f>
        <v/>
      </c>
    </row>
    <row r="29">
      <c r="A29" s="2" t="inlineStr">
        <is>
          <t>安装辅材</t>
        </is>
      </c>
      <c r="B29" s="2" t="inlineStr">
        <is>
          <t>端子/标识/防水</t>
        </is>
      </c>
      <c r="C29" s="2" t="inlineStr">
        <is>
          <t>汇总</t>
        </is>
      </c>
      <c r="D29" s="2" t="n">
        <v>1</v>
      </c>
      <c r="E29" s="2" t="inlineStr">
        <is>
          <t>套</t>
        </is>
      </c>
      <c r="F29" s="2" t="n">
        <v>400</v>
      </c>
      <c r="G29" s="2">
        <f>F29*D29</f>
        <v/>
      </c>
    </row>
    <row r="30">
      <c r="A30" s="2" t="inlineStr">
        <is>
          <t>合计</t>
        </is>
      </c>
      <c r="B30" s="2" t="inlineStr"/>
      <c r="C30" s="2" t="inlineStr"/>
      <c r="D30" s="2" t="inlineStr"/>
      <c r="E30" s="2" t="inlineStr"/>
      <c r="F30" s="2" t="inlineStr"/>
      <c r="G30" s="3">
        <f>SUM(G2:G29)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2026-09-06T14:42:44Z</dcterms:created>
  <dcterms:modified xmlns:dcterms="http://purl.org/dc/terms/" xmlns:xsi="http://www.w3.org/2001/XMLSchema-instance" xsi:type="dcterms:W3CDTF">2026-09-06T14:42:44Z</dcterms:modified>
</cp:coreProperties>
</file>