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" sheetId="1" state="visible" r:id="rId1"/>
    <sheet xmlns:r="http://schemas.openxmlformats.org/officeDocument/2006/relationships" name="容量计算" sheetId="2" state="visible" r:id="rId2"/>
    <sheet xmlns:r="http://schemas.openxmlformats.org/officeDocument/2006/relationships" name="校核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40" customWidth="1" min="4" max="4"/>
    <col width="30" customWidth="1" min="5" max="5"/>
  </cols>
  <sheetData>
    <row r="1">
      <c r="A1" s="1" t="inlineStr">
        <is>
          <t>参数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含义</t>
        </is>
      </c>
      <c r="E1" s="1" t="inlineStr">
        <is>
          <t>来源/依据</t>
        </is>
      </c>
    </row>
    <row r="2">
      <c r="A2" t="inlineStr">
        <is>
          <t>E_AC</t>
        </is>
      </c>
      <c r="B2" s="2" t="n">
        <v>7.82</v>
      </c>
      <c r="C2" t="inlineStr">
        <is>
          <t>kWh/d</t>
        </is>
      </c>
      <c r="D2" t="inlineStr">
        <is>
          <t>交流侧日用电量（冬季采暖季设计点）</t>
        </is>
      </c>
      <c r="E2" t="inlineStr">
        <is>
          <t>docs/负荷调查-拉萨.md</t>
        </is>
      </c>
    </row>
    <row r="3">
      <c r="A3" t="inlineStr">
        <is>
          <t>N_A</t>
        </is>
      </c>
      <c r="B3" s="2" t="n">
        <v>2</v>
      </c>
      <c r="C3" t="inlineStr">
        <is>
          <t>d</t>
        </is>
      </c>
      <c r="D3" t="inlineStr">
        <is>
          <t>自主供电天数（基准设计）</t>
        </is>
      </c>
      <c r="E3" t="inlineStr">
        <is>
          <t>任务书 §4.3 / 指导书 §5.2</t>
        </is>
      </c>
    </row>
    <row r="4">
      <c r="A4" t="inlineStr">
        <is>
          <t>K_R</t>
        </is>
      </c>
      <c r="B4" s="2" t="n">
        <v>1.1</v>
      </c>
      <c r="C4" t="inlineStr">
        <is>
          <t>-</t>
        </is>
      </c>
      <c r="D4" t="inlineStr">
        <is>
          <t>容量储备系数</t>
        </is>
      </c>
      <c r="E4" t="inlineStr">
        <is>
          <t>指导书 §5.2（1.05~1.10，取 1.10）</t>
        </is>
      </c>
    </row>
    <row r="5">
      <c r="A5" t="inlineStr">
        <is>
          <t>DOD</t>
        </is>
      </c>
      <c r="B5" s="2" t="n">
        <v>0.9</v>
      </c>
      <c r="C5" t="inlineStr">
        <is>
          <t>-</t>
        </is>
      </c>
      <c r="D5" t="inlineStr">
        <is>
          <t>允许放电深度</t>
        </is>
      </c>
      <c r="E5" t="inlineStr">
        <is>
          <t>磷酸铁锂+BMS（保守口径 0.80 见敏感性）</t>
        </is>
      </c>
    </row>
    <row r="6">
      <c r="A6" t="inlineStr">
        <is>
          <t>eta_dis</t>
        </is>
      </c>
      <c r="B6" s="2" t="n">
        <v>0.95</v>
      </c>
      <c r="C6" t="inlineStr">
        <is>
          <t>-</t>
        </is>
      </c>
      <c r="D6" t="inlineStr">
        <is>
          <t>蓄电池放电效率</t>
        </is>
      </c>
      <c r="E6" t="inlineStr">
        <is>
          <t>W3 效率表</t>
        </is>
      </c>
    </row>
    <row r="7">
      <c r="A7" t="inlineStr">
        <is>
          <t>eta_inv</t>
        </is>
      </c>
      <c r="B7" s="2" t="n">
        <v>0.93</v>
      </c>
      <c r="C7" t="inlineStr">
        <is>
          <t>-</t>
        </is>
      </c>
      <c r="D7" t="inlineStr">
        <is>
          <t>逆变器效率</t>
        </is>
      </c>
      <c r="E7" t="inlineStr">
        <is>
          <t>W3（SPF 5000 ES 官方峰值 93%）</t>
        </is>
      </c>
    </row>
    <row r="8">
      <c r="A8" t="inlineStr">
        <is>
          <t>K_T</t>
        </is>
      </c>
      <c r="B8" s="2" t="n">
        <v>1</v>
      </c>
      <c r="C8" t="inlineStr">
        <is>
          <t>-</t>
        </is>
      </c>
      <c r="D8" t="inlineStr">
        <is>
          <t>低温修正系数</t>
        </is>
      </c>
      <c r="E8" t="inlineStr">
        <is>
          <t>设备间保温不低于 10 ℃（无保温敏感性 0.70）</t>
        </is>
      </c>
    </row>
    <row r="9">
      <c r="A9" t="inlineStr">
        <is>
          <t>V_nom</t>
        </is>
      </c>
      <c r="B9" s="2" t="n">
        <v>51.2</v>
      </c>
      <c r="C9" t="inlineStr">
        <is>
          <t>V</t>
        </is>
      </c>
      <c r="D9" t="inlineStr">
        <is>
          <t>蓄电池标称电压</t>
        </is>
      </c>
      <c r="E9" t="inlineStr">
        <is>
          <t>48 V 级磷酸铁锂 16 串</t>
        </is>
      </c>
    </row>
    <row r="10">
      <c r="A10" t="inlineStr">
        <is>
          <t>E_mod</t>
        </is>
      </c>
      <c r="B10" s="2" t="n">
        <v>5.12</v>
      </c>
      <c r="C10" t="inlineStr">
        <is>
          <t>kWh</t>
        </is>
      </c>
      <c r="D10" t="inlineStr">
        <is>
          <t>单模块标称能量</t>
        </is>
      </c>
      <c r="E10" t="inlineStr">
        <is>
          <t>BNP-5120BM 51.2V/100Ah</t>
        </is>
      </c>
    </row>
    <row r="11">
      <c r="A11" t="inlineStr">
        <is>
          <t>N_P_sel</t>
        </is>
      </c>
      <c r="B11" s="2" t="n">
        <v>5</v>
      </c>
      <c r="C11" t="inlineStr">
        <is>
          <t>台</t>
        </is>
      </c>
      <c r="D11" t="inlineStr">
        <is>
          <t>选定并联数量</t>
        </is>
      </c>
      <c r="E11" t="inlineStr">
        <is>
          <t>方案 A</t>
        </is>
      </c>
    </row>
    <row r="12">
      <c r="A12" t="inlineStr">
        <is>
          <t>P_inv_r</t>
        </is>
      </c>
      <c r="B12" s="2" t="n">
        <v>5000</v>
      </c>
      <c r="C12" t="inlineStr">
        <is>
          <t>W</t>
        </is>
      </c>
      <c r="D12" t="inlineStr">
        <is>
          <t>逆变器额定功率</t>
        </is>
      </c>
      <c r="E12" t="inlineStr">
        <is>
          <t>Growatt SPF 5000 ES</t>
        </is>
      </c>
    </row>
    <row r="13">
      <c r="A13" t="inlineStr">
        <is>
          <t>V_bat_min</t>
        </is>
      </c>
      <c r="B13" s="2" t="n">
        <v>45</v>
      </c>
      <c r="C13" t="inlineStr">
        <is>
          <t>V</t>
        </is>
      </c>
      <c r="D13" t="inlineStr">
        <is>
          <t>电池侧最低工作电压</t>
        </is>
      </c>
      <c r="E13" t="inlineStr">
        <is>
          <t>模块放电下限 44.8 V 对应</t>
        </is>
      </c>
    </row>
    <row r="14">
      <c r="A14" t="inlineStr">
        <is>
          <t>P_short</t>
        </is>
      </c>
      <c r="B14" s="2" t="n">
        <v>5200</v>
      </c>
      <c r="C14" t="inlineStr">
        <is>
          <t>W</t>
        </is>
      </c>
      <c r="D14" t="inlineStr">
        <is>
          <t>短时冲击功率</t>
        </is>
      </c>
      <c r="E14" t="inlineStr">
        <is>
          <t>W1（P_max 4.6 kW + 冰箱启动 0.6 kW）</t>
        </is>
      </c>
    </row>
    <row r="15">
      <c r="A15" t="inlineStr">
        <is>
          <t>P_PV</t>
        </is>
      </c>
      <c r="B15" s="2" t="n">
        <v>3000</v>
      </c>
      <c r="C15" t="inlineStr">
        <is>
          <t>W</t>
        </is>
      </c>
      <c r="D15" t="inlineStr">
        <is>
          <t>光伏阵列装机容量</t>
        </is>
      </c>
      <c r="E15" t="inlineStr">
        <is>
          <t>W5（5 串 × 1 并 × 600 W）</t>
        </is>
      </c>
    </row>
    <row r="16">
      <c r="A16" t="inlineStr">
        <is>
          <t>V_bat_chg</t>
        </is>
      </c>
      <c r="B16" s="2" t="n">
        <v>54.4</v>
      </c>
      <c r="C16" t="inlineStr">
        <is>
          <t>V</t>
        </is>
      </c>
      <c r="D16" t="inlineStr">
        <is>
          <t>电池侧充电电压</t>
        </is>
      </c>
      <c r="E16" t="inlineStr">
        <is>
          <t>充电上限 57.6 V 内典型值</t>
        </is>
      </c>
    </row>
    <row r="17">
      <c r="A17" t="inlineStr">
        <is>
          <t>I_ctrl_out_max</t>
        </is>
      </c>
      <c r="B17" s="2" t="n">
        <v>100</v>
      </c>
      <c r="C17" t="inlineStr">
        <is>
          <t>A</t>
        </is>
      </c>
      <c r="D17" t="inlineStr">
        <is>
          <t>MPPT 控制器输出限流</t>
        </is>
      </c>
      <c r="E17" t="inlineStr">
        <is>
          <t>SPF 5000 ES</t>
        </is>
      </c>
    </row>
    <row r="18">
      <c r="A18" t="inlineStr">
        <is>
          <t>eta_MPPT</t>
        </is>
      </c>
      <c r="B18" s="2" t="n">
        <v>0.96</v>
      </c>
      <c r="C18" t="inlineStr">
        <is>
          <t>-</t>
        </is>
      </c>
      <c r="D18" t="inlineStr">
        <is>
          <t>MPPT 控制器效率</t>
        </is>
      </c>
      <c r="E18" t="inlineStr">
        <is>
          <t>W3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4" customWidth="1" min="3" max="3"/>
    <col width="8" customWidth="1" min="4" max="4"/>
  </cols>
  <sheetData>
    <row r="1">
      <c r="A1" s="1" t="inlineStr">
        <is>
          <t>项目</t>
        </is>
      </c>
      <c r="B1" s="1" t="inlineStr">
        <is>
          <t>计算式/说明</t>
        </is>
      </c>
      <c r="C1" s="3" t="inlineStr">
        <is>
          <t>结果</t>
        </is>
      </c>
      <c r="D1" s="3" t="inlineStr">
        <is>
          <t>单位</t>
        </is>
      </c>
    </row>
    <row r="2">
      <c r="A2" s="4" t="inlineStr">
        <is>
          <t>E_bat,min 最低标称能量</t>
        </is>
      </c>
      <c r="B2" s="4" t="inlineStr">
        <is>
          <t>E_AC*N_A*K_R/(DOD*eta_dis*eta_inv*K_T)</t>
        </is>
      </c>
      <c r="C2">
        <f>参数!B2*参数!B3*参数!B4/(参数!B5*参数!B6*参数!B7*参数!B8)</f>
        <v/>
      </c>
      <c r="D2" t="inlineStr">
        <is>
          <t>kWh</t>
        </is>
      </c>
    </row>
    <row r="3">
      <c r="A3" s="4" t="inlineStr">
        <is>
          <t>C_bat,min 安时</t>
        </is>
      </c>
      <c r="B3" s="4" t="inlineStr">
        <is>
          <t>1000*E_bat,min/V_nom</t>
        </is>
      </c>
      <c r="C3">
        <f>ROUND(1000*C2/参数!B9,1)</f>
        <v/>
      </c>
      <c r="D3" t="inlineStr">
        <is>
          <t>Ah</t>
        </is>
      </c>
    </row>
    <row r="4">
      <c r="A4" t="inlineStr">
        <is>
          <t>N_P,E 并联数量(能量)</t>
        </is>
      </c>
      <c r="B4" t="inlineStr">
        <is>
          <t>CEILING(E_bat,min/E_mod,1)</t>
        </is>
      </c>
      <c r="C4">
        <f>CEILING(C2/参数!B10,1)</f>
        <v/>
      </c>
      <c r="D4" t="inlineStr">
        <is>
          <t>台</t>
        </is>
      </c>
    </row>
    <row r="5">
      <c r="A5" t="inlineStr">
        <is>
          <t>E_actual 实际标称能量</t>
        </is>
      </c>
      <c r="B5" t="inlineStr">
        <is>
          <t>N_P*E_mod</t>
        </is>
      </c>
      <c r="C5">
        <f>C4*参数!B10</f>
        <v/>
      </c>
      <c r="D5" t="inlineStr">
        <is>
          <t>kWh</t>
        </is>
      </c>
    </row>
    <row r="6">
      <c r="A6" t="inlineStr">
        <is>
          <t>实际/下限比值</t>
        </is>
      </c>
      <c r="B6" t="inlineStr">
        <is>
          <t>E_actual/E_bat,min</t>
        </is>
      </c>
      <c r="C6">
        <f>C5/C2</f>
        <v/>
      </c>
      <c r="D6" t="inlineStr">
        <is>
          <t>-</t>
        </is>
      </c>
    </row>
    <row r="7"/>
    <row r="8">
      <c r="A8" t="inlineStr">
        <is>
          <t>敏感性：3 d 自主供电</t>
        </is>
      </c>
      <c r="B8" t="inlineStr">
        <is>
          <t>E_AC*3*K_R/(DOD*eta_dis*eta_inv*K_T)</t>
        </is>
      </c>
      <c r="C8">
        <f>参数!B2*3*参数!B4/(参数!B5*参数!B6*参数!B7*参数!B8)</f>
        <v/>
      </c>
      <c r="D8" t="inlineStr">
        <is>
          <t>kWh</t>
        </is>
      </c>
    </row>
    <row r="9">
      <c r="A9" t="inlineStr">
        <is>
          <t>N_P(3d)</t>
        </is>
      </c>
      <c r="B9">
        <f>CEILING(E3d/E_mod,1)</f>
        <v/>
      </c>
      <c r="C9">
        <f>CEILING(C8/参数!B10,1)</f>
        <v/>
      </c>
      <c r="D9" t="inlineStr">
        <is>
          <t>台</t>
        </is>
      </c>
    </row>
    <row r="10">
      <c r="A10" t="inlineStr">
        <is>
          <t>E_actual(3d)</t>
        </is>
      </c>
      <c r="B10" t="inlineStr">
        <is>
          <t>N_P3d*E_mod</t>
        </is>
      </c>
      <c r="C10">
        <f>C9*参数!B10</f>
        <v/>
      </c>
      <c r="D10" t="inlineStr">
        <is>
          <t>kWh</t>
        </is>
      </c>
    </row>
    <row r="11"/>
    <row r="12">
      <c r="A12" t="inlineStr">
        <is>
          <t>敏感性：DOD=0.80 保守</t>
        </is>
      </c>
      <c r="B12" t="inlineStr">
        <is>
          <t>E_AC*N_A*K_R/(0.8*eta_dis*eta_inv*K_T)</t>
        </is>
      </c>
      <c r="C12">
        <f>参数!B2*参数!B3*参数!B4/(0.8*参数!B6*参数!B7*参数!B8)</f>
        <v/>
      </c>
      <c r="D12" t="inlineStr">
        <is>
          <t>kWh</t>
        </is>
      </c>
    </row>
    <row r="13">
      <c r="A13" t="inlineStr">
        <is>
          <t>N_P(DOD0.80)</t>
        </is>
      </c>
      <c r="B13">
        <f>CEILING(E80/E_mod,1)</f>
        <v/>
      </c>
      <c r="C13">
        <f>CEILING(C11/参数!B10,1)</f>
        <v/>
      </c>
      <c r="D13" t="inlineStr">
        <is>
          <t>台</t>
        </is>
      </c>
    </row>
    <row r="14"/>
    <row r="15">
      <c r="A15" t="inlineStr">
        <is>
          <t>敏感性：设备间不保温 K_T=0.70</t>
        </is>
      </c>
      <c r="B15" t="inlineStr">
        <is>
          <t>E_AC*N_A*K_R/(DOD*eta_dis*eta_inv*0.7)</t>
        </is>
      </c>
      <c r="C15">
        <f>参数!B2*参数!B3*参数!B4/(参数!B5*参数!B6*参数!B7*0.7)</f>
        <v/>
      </c>
      <c r="D15" t="inlineStr">
        <is>
          <t>kWh</t>
        </is>
      </c>
    </row>
    <row r="16">
      <c r="A16" t="inlineStr">
        <is>
          <t>N_P(K_T=0.70)</t>
        </is>
      </c>
      <c r="B16" t="inlineStr">
        <is>
          <t>CEILING(Ekt/E_mod,1)</t>
        </is>
      </c>
      <c r="C16">
        <f>CEILING(C14/参数!B10,1)</f>
        <v/>
      </c>
      <c r="D16" t="inlineStr">
        <is>
          <t>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8" customWidth="1" min="3" max="3"/>
    <col width="8" customWidth="1" min="4" max="4"/>
  </cols>
  <sheetData>
    <row r="1">
      <c r="A1" s="1" t="inlineStr">
        <is>
          <t>项目</t>
        </is>
      </c>
      <c r="B1" s="3" t="inlineStr">
        <is>
          <t>计算或选定结果</t>
        </is>
      </c>
      <c r="C1" s="3" t="inlineStr">
        <is>
          <t>产品允许值</t>
        </is>
      </c>
      <c r="D1" s="3" t="inlineStr">
        <is>
          <t>结论</t>
        </is>
      </c>
    </row>
    <row r="2">
      <c r="A2" s="4" t="inlineStr">
        <is>
          <t>最低标称能量</t>
        </is>
      </c>
      <c r="B2">
        <f>容量计算!C2</f>
        <v/>
      </c>
      <c r="C2" t="inlineStr">
        <is>
          <t>—</t>
        </is>
      </c>
      <c r="D2" t="inlineStr">
        <is>
          <t>—</t>
        </is>
      </c>
    </row>
    <row r="3">
      <c r="A3" s="4" t="inlineStr">
        <is>
          <t>实际标称能量</t>
        </is>
      </c>
      <c r="B3">
        <f>容量计算!C5</f>
        <v/>
      </c>
      <c r="C3" t="inlineStr">
        <is>
          <t>≤1.25×E_bat,min</t>
        </is>
      </c>
      <c r="D3">
        <f>IF(容量计算!C6&lt;=1.25,"OK","FAIL")</f>
        <v/>
      </c>
    </row>
    <row r="4">
      <c r="A4" s="4" t="inlineStr">
        <is>
          <t>连续放电电流 I_dis</t>
        </is>
      </c>
      <c r="B4" t="inlineStr">
        <is>
          <t>ROUND(P_inv_r/(V_bat_min*eta_inv),1)</t>
        </is>
      </c>
      <c r="C4" t="inlineStr">
        <is>
          <t>5*100 A</t>
        </is>
      </c>
      <c r="D4">
        <f>IF(ROUND(参数!B12/(参数!B13*参数!B7),1)&lt;=500,"OK","FAIL")</f>
        <v/>
      </c>
    </row>
    <row r="5">
      <c r="A5" t="inlineStr">
        <is>
          <t>短时放电电流 I_dis,sur</t>
        </is>
      </c>
      <c r="B5" t="inlineStr">
        <is>
          <t>ROUND(P_short/(V_bat_min*eta_inv),1)</t>
        </is>
      </c>
      <c r="C5" t="inlineStr">
        <is>
          <t>5×100 A</t>
        </is>
      </c>
      <c r="D5">
        <f>IF(ROUND(参数!B14/(参数!B13*参数!B7),1)&lt;=500,"OK","FAIL")</f>
        <v/>
      </c>
    </row>
    <row r="6">
      <c r="A6" t="inlineStr">
        <is>
          <t>最大充电电流 I_chg</t>
        </is>
      </c>
      <c r="B6" t="inlineStr">
        <is>
          <t>ROUND(MIN(P_PV*eta_MPPT/V_bat_chg,I_ctrl_out_max),1)</t>
        </is>
      </c>
      <c r="C6" t="inlineStr">
        <is>
          <t>5×50 A</t>
        </is>
      </c>
      <c r="D6">
        <f>IF(ROUND(MIN(参数!B15*参数!B18/参数!B16,参数!B17),1)&lt;=250,"OK","FAIL")</f>
        <v/>
      </c>
    </row>
    <row r="7">
      <c r="A7" t="inlineStr">
        <is>
          <t>并联数量 N_P</t>
        </is>
      </c>
      <c r="B7">
        <f>容量计算!C4</f>
        <v/>
      </c>
      <c r="C7" t="inlineStr">
        <is>
          <t>远低于厂家上限</t>
        </is>
      </c>
      <c r="D7" t="inlineStr">
        <is>
          <t>OK</t>
        </is>
      </c>
    </row>
    <row r="8">
      <c r="A8" t="inlineStr">
        <is>
          <t>N_S 串联</t>
        </is>
      </c>
      <c r="B8" t="inlineStr">
        <is>
          <t>1（完整模块不串联）</t>
        </is>
      </c>
      <c r="C8" t="inlineStr">
        <is>
          <t>不串联</t>
        </is>
      </c>
      <c r="D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2026-09-02T03:12:59Z</dcterms:created>
  <dcterms:modified xmlns:dcterms="http://purl.org/dc/terms/" xmlns:xsi="http://www.w3.org/2001/XMLSchema-instance" xsi:type="dcterms:W3CDTF">2026-09-02T03:12:59Z</dcterms:modified>
</cp:coreProperties>
</file>