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排距与支架校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D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52" customWidth="1" min="4" max="4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说明</t>
        </is>
      </c>
    </row>
    <row r="2">
      <c r="A2" s="2" t="inlineStr">
        <is>
          <t>L</t>
        </is>
      </c>
      <c r="B2" s="2" t="n">
        <v>2.382</v>
      </c>
      <c r="C2" s="2" t="inlineStr">
        <is>
          <t>m</t>
        </is>
      </c>
      <c r="D2" s="2" t="inlineStr">
        <is>
          <t>组件坡向长度（竖排长边）</t>
        </is>
      </c>
    </row>
    <row r="3">
      <c r="A3" s="2" t="inlineStr">
        <is>
          <t>beta_deg</t>
        </is>
      </c>
      <c r="B3" s="2" t="n">
        <v>30</v>
      </c>
      <c r="C3" s="2" t="inlineStr">
        <is>
          <t>°</t>
        </is>
      </c>
      <c r="D3" s="2" t="inlineStr">
        <is>
          <t>安装倾角</t>
        </is>
      </c>
    </row>
    <row r="4">
      <c r="A4" s="2" t="inlineStr">
        <is>
          <t>alpha_s_deg</t>
        </is>
      </c>
      <c r="B4" s="2" t="n">
        <v>21.5</v>
      </c>
      <c r="C4" s="2" t="inlineStr">
        <is>
          <t>°</t>
        </is>
      </c>
      <c r="D4" s="2" t="inlineStr">
        <is>
          <t>冬至9:00太阳高度角</t>
        </is>
      </c>
    </row>
    <row r="5">
      <c r="A5" s="2" t="inlineStr">
        <is>
          <t>w0</t>
        </is>
      </c>
      <c r="B5" s="2" t="n">
        <v>0.15</v>
      </c>
      <c r="C5" s="2" t="inlineStr">
        <is>
          <t>kN/m²</t>
        </is>
      </c>
      <c r="D5" s="2" t="inlineStr">
        <is>
          <t>拉萨基本风压（GB50009, 50年）</t>
        </is>
      </c>
    </row>
    <row r="6">
      <c r="A6" s="2" t="inlineStr">
        <is>
          <t>mu_z</t>
        </is>
      </c>
      <c r="B6" s="2" t="n">
        <v>1</v>
      </c>
      <c r="C6" s="2" t="inlineStr">
        <is>
          <t>-</t>
        </is>
      </c>
      <c r="D6" s="2" t="inlineStr">
        <is>
          <t>风压高度变化系数（B类10m）</t>
        </is>
      </c>
    </row>
    <row r="7">
      <c r="A7" s="2" t="inlineStr">
        <is>
          <t>mu_s</t>
        </is>
      </c>
      <c r="B7" s="2" t="n">
        <v>1.3</v>
      </c>
      <c r="C7" s="2" t="inlineStr">
        <is>
          <t>-</t>
        </is>
      </c>
      <c r="D7" s="2" t="inlineStr">
        <is>
          <t>体型系数（倾斜平板±1.3）</t>
        </is>
      </c>
    </row>
    <row r="8">
      <c r="A8" s="2" t="inlineStr">
        <is>
          <t>beta_gz</t>
        </is>
      </c>
      <c r="B8" s="2" t="n">
        <v>1.6</v>
      </c>
      <c r="C8" s="2" t="inlineStr">
        <is>
          <t>-</t>
        </is>
      </c>
      <c r="D8" s="2" t="inlineStr">
        <is>
          <t>阵风系数</t>
        </is>
      </c>
    </row>
    <row r="9">
      <c r="A9" s="2" t="inlineStr">
        <is>
          <t>G_module</t>
        </is>
      </c>
      <c r="B9" s="2" t="n">
        <v>0.314</v>
      </c>
      <c r="C9" s="2" t="inlineStr">
        <is>
          <t>kN</t>
        </is>
      </c>
      <c r="D9" s="2" t="inlineStr">
        <is>
          <t>组件自重（≈32kg）</t>
        </is>
      </c>
    </row>
    <row r="10">
      <c r="A10" s="2" t="inlineStr">
        <is>
          <t>b_wind</t>
        </is>
      </c>
      <c r="B10" s="2" t="n">
        <v>0.5669999999999999</v>
      </c>
      <c r="C10" s="2" t="inlineStr">
        <is>
          <t>m</t>
        </is>
      </c>
      <c r="D10" s="2" t="inlineStr">
        <is>
          <t>每根导轨受风宽度（半块宽）</t>
        </is>
      </c>
    </row>
    <row r="11">
      <c r="A11" s="2" t="inlineStr">
        <is>
          <t>Lb</t>
        </is>
      </c>
      <c r="B11" s="2" t="n">
        <v>1.2</v>
      </c>
      <c r="C11" s="2" t="inlineStr">
        <is>
          <t>m</t>
        </is>
      </c>
      <c r="D11" s="2" t="inlineStr">
        <is>
          <t>导轨跨度（立柱间距）</t>
        </is>
      </c>
    </row>
    <row r="12">
      <c r="A12" s="2" t="inlineStr">
        <is>
          <t>Wr</t>
        </is>
      </c>
      <c r="B12" s="2" t="n">
        <v>10.4</v>
      </c>
      <c r="C12" s="2" t="inlineStr">
        <is>
          <t>cm³</t>
        </is>
      </c>
      <c r="D12" s="2" t="inlineStr">
        <is>
          <t>铝导轨截面抵抗矩（6063-T5典型）</t>
        </is>
      </c>
    </row>
    <row r="13">
      <c r="A13" s="2" t="inlineStr">
        <is>
          <t>Ir</t>
        </is>
      </c>
      <c r="B13" s="2" t="n">
        <v>44.9</v>
      </c>
      <c r="C13" s="2" t="inlineStr">
        <is>
          <t>cm⁴</t>
        </is>
      </c>
      <c r="D13" s="2" t="inlineStr">
        <is>
          <t>铝导轨截面惯性矩</t>
        </is>
      </c>
    </row>
    <row r="14">
      <c r="A14" s="2" t="inlineStr">
        <is>
          <t>E</t>
        </is>
      </c>
      <c r="B14" s="2" t="n">
        <v>70</v>
      </c>
      <c r="C14" s="2" t="inlineStr">
        <is>
          <t>GPa</t>
        </is>
      </c>
      <c r="D14" s="2" t="inlineStr">
        <is>
          <t>铝合金弹性模量</t>
        </is>
      </c>
    </row>
    <row r="15">
      <c r="A15" s="2" t="inlineStr">
        <is>
          <t>sig_allow</t>
        </is>
      </c>
      <c r="B15" s="2" t="n">
        <v>85</v>
      </c>
      <c r="C15" s="2" t="inlineStr">
        <is>
          <t>MPa</t>
        </is>
      </c>
      <c r="D15" s="2" t="inlineStr">
        <is>
          <t>6063-T5许用应力</t>
        </is>
      </c>
    </row>
    <row r="16">
      <c r="A16" s="2" t="inlineStr">
        <is>
          <t>n_module_row</t>
        </is>
      </c>
      <c r="B16" s="2" t="n">
        <v>5</v>
      </c>
      <c r="C16" s="2" t="inlineStr">
        <is>
          <t>块</t>
        </is>
      </c>
      <c r="D16" s="2" t="inlineStr">
        <is>
          <t>单排组件数</t>
        </is>
      </c>
    </row>
    <row r="17">
      <c r="A17" s="2" t="inlineStr">
        <is>
          <t>W_module</t>
        </is>
      </c>
      <c r="B17" s="2" t="n">
        <v>1.134</v>
      </c>
      <c r="C17" s="2" t="inlineStr">
        <is>
          <t>m</t>
        </is>
      </c>
      <c r="D17" s="2" t="inlineStr">
        <is>
          <t>组件短边（竖排东西向）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4" customWidth="1" min="3" max="3"/>
    <col width="8" customWidth="1" min="4" max="4"/>
    <col width="14" customWidth="1" min="5" max="5"/>
  </cols>
  <sheetData>
    <row r="1">
      <c r="A1" s="1" t="inlineStr">
        <is>
          <t>项目</t>
        </is>
      </c>
      <c r="B1" s="1" t="inlineStr">
        <is>
          <t>公式</t>
        </is>
      </c>
      <c r="C1" s="1" t="inlineStr">
        <is>
          <t>结果</t>
        </is>
      </c>
      <c r="D1" s="1" t="inlineStr">
        <is>
          <t>单位</t>
        </is>
      </c>
      <c r="E1" s="1" t="inlineStr">
        <is>
          <t>判定</t>
        </is>
      </c>
    </row>
    <row r="2">
      <c r="A2" s="2" t="inlineStr">
        <is>
          <t>风压标准值 wk</t>
        </is>
      </c>
      <c r="B2" s="2" t="inlineStr">
        <is>
          <t>beta_gz*mu_s*mu_z*w0</t>
        </is>
      </c>
      <c r="C2" s="2">
        <f>参数!B8*参数!B7*参数!B6*参数!B5</f>
        <v/>
      </c>
      <c r="D2" s="2" t="inlineStr">
        <is>
          <t>kN/m²</t>
        </is>
      </c>
    </row>
    <row r="3">
      <c r="A3" s="2" t="inlineStr">
        <is>
          <t>排间节距 D</t>
        </is>
      </c>
      <c r="B3" s="2" t="inlineStr">
        <is>
          <t>L*cosβ+L*sinβ/tanαs</t>
        </is>
      </c>
      <c r="C3" s="2">
        <f>参数!B2*COS(RADIANS(参数!B3))+参数!B2*SIN(RADIANS(参数!B3))/TAN(RADIANS(参数!B4))</f>
        <v/>
      </c>
      <c r="D3" s="2" t="inlineStr">
        <is>
          <t>m</t>
        </is>
      </c>
      <c r="E3" s="2" t="inlineStr">
        <is>
          <t>单排无需，扩排用</t>
        </is>
      </c>
    </row>
    <row r="4">
      <c r="A4" s="2" t="inlineStr">
        <is>
          <t>自重线荷载 g</t>
        </is>
      </c>
      <c r="B4" s="2" t="inlineStr">
        <is>
          <t>G_module/2/L</t>
        </is>
      </c>
      <c r="C4" s="2">
        <f>参数!B9/2/参数!B2</f>
        <v/>
      </c>
      <c r="D4" s="2" t="inlineStr">
        <is>
          <t>kN/m</t>
        </is>
      </c>
    </row>
    <row r="5">
      <c r="A5" s="2" t="inlineStr">
        <is>
          <t>风载线荷载 qw</t>
        </is>
      </c>
      <c r="B5" s="2" t="inlineStr">
        <is>
          <t>wk*b_wind</t>
        </is>
      </c>
      <c r="C5" s="2">
        <f>C2*参数!B10</f>
        <v/>
      </c>
      <c r="D5" s="2" t="inlineStr">
        <is>
          <t>kN/m</t>
        </is>
      </c>
      <c r="E5" s="2" t="inlineStr">
        <is>
          <t>标准值</t>
        </is>
      </c>
    </row>
    <row r="6">
      <c r="A6" s="2" t="inlineStr">
        <is>
          <t>设计线荷载 q</t>
        </is>
      </c>
      <c r="B6" s="2" t="inlineStr">
        <is>
          <t>1.2*g+1.4*qw</t>
        </is>
      </c>
      <c r="C6" s="2">
        <f>1.2*C4+1.4*C5</f>
        <v/>
      </c>
      <c r="D6" s="2" t="inlineStr">
        <is>
          <t>kN/m</t>
        </is>
      </c>
      <c r="E6" s="2" t="inlineStr">
        <is>
          <t>承载能力组合</t>
        </is>
      </c>
    </row>
    <row r="7">
      <c r="A7" s="2" t="inlineStr">
        <is>
          <t>Mmax</t>
        </is>
      </c>
      <c r="B7" s="2" t="inlineStr">
        <is>
          <t>q*Lb^2/8</t>
        </is>
      </c>
      <c r="C7" s="2">
        <f>C6*参数!B11^2/8</f>
        <v/>
      </c>
      <c r="D7" s="2" t="inlineStr">
        <is>
          <t>kN·m</t>
        </is>
      </c>
    </row>
    <row r="8">
      <c r="A8" s="2" t="inlineStr">
        <is>
          <t>σmax</t>
        </is>
      </c>
      <c r="B8" s="2" t="inlineStr">
        <is>
          <t>Mmax*1000/(Wr*1e-6)/1e6</t>
        </is>
      </c>
      <c r="C8" s="2">
        <f>C7*1000/(参数!B12*1e-6)/1000000</f>
        <v/>
      </c>
      <c r="D8" s="2" t="inlineStr">
        <is>
          <t>MPa</t>
        </is>
      </c>
      <c r="E8" s="2">
        <f>IF(C8&lt;=参数!B15,"OK","FAIL")</f>
        <v/>
      </c>
    </row>
    <row r="9">
      <c r="A9" s="2" t="inlineStr">
        <is>
          <t>挠度 fmax</t>
        </is>
      </c>
      <c r="B9" s="2" t="inlineStr">
        <is>
          <t>5*qstd*1000*Lb^4/(384*E*1e9*Ir*1e-8)</t>
        </is>
      </c>
      <c r="C9" s="2">
        <f>(C4+C5)*5*1000*参数!B11^4/(384*参数!B14*1e9*参数!B13*1e-8)*1000</f>
        <v/>
      </c>
      <c r="D9" s="2" t="inlineStr">
        <is>
          <t>mm</t>
        </is>
      </c>
    </row>
    <row r="10">
      <c r="A10" s="2" t="inlineStr">
        <is>
          <t>挠度限值</t>
        </is>
      </c>
      <c r="B10" s="2" t="inlineStr">
        <is>
          <t>Lb/200*1000</t>
        </is>
      </c>
      <c r="C10" s="2">
        <f>参数!B11/200*1000</f>
        <v/>
      </c>
      <c r="D10" s="2" t="inlineStr">
        <is>
          <t>mm</t>
        </is>
      </c>
      <c r="E10" s="2">
        <f>IF(C9&lt;=C10,"OK","FAIL")</f>
        <v/>
      </c>
    </row>
    <row r="11">
      <c r="A11" s="2" t="inlineStr">
        <is>
          <t>阵列东西宽</t>
        </is>
      </c>
      <c r="B11" s="2" t="inlineStr">
        <is>
          <t>n_module_row*W_module</t>
        </is>
      </c>
      <c r="C11" s="2">
        <f>参数!B16*参数!B17</f>
        <v/>
      </c>
      <c r="D11" s="2" t="inlineStr">
        <is>
          <t>m</t>
        </is>
      </c>
    </row>
    <row r="12">
      <c r="A12" s="2" t="inlineStr">
        <is>
          <t>阵列水平投影</t>
        </is>
      </c>
      <c r="B12" s="2" t="inlineStr">
        <is>
          <t>L*cosβ</t>
        </is>
      </c>
      <c r="C12" s="2">
        <f>参数!B2*COS(RADIANS(参数!B3))</f>
        <v/>
      </c>
      <c r="D12" s="2" t="inlineStr">
        <is>
          <t>m</t>
        </is>
      </c>
    </row>
    <row r="13">
      <c r="A13" s="2" t="inlineStr">
        <is>
          <t>前后沿高差</t>
        </is>
      </c>
      <c r="B13" s="2" t="inlineStr">
        <is>
          <t>L*sinβ</t>
        </is>
      </c>
      <c r="C13" s="2">
        <f>参数!B2*SIN(RADIANS(参数!B3))</f>
        <v/>
      </c>
      <c r="D13" s="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2026-09-03T12:38:14Z</dcterms:created>
  <dcterms:modified xsi:type="dcterms:W3CDTF">2026-09-03T12:38:14Z</dcterms:modified>
</cp:coreProperties>
</file>