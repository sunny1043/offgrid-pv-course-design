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回路计算" sheetId="2" state="visible" r:id="rId2"/>
    <sheet name="保护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6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rho</t>
        </is>
      </c>
      <c r="B2" s="2" t="n">
        <v>0.0175</v>
      </c>
      <c r="C2" s="2" t="inlineStr">
        <is>
          <t>Ω·mm²/m</t>
        </is>
      </c>
      <c r="D2" s="2" t="inlineStr">
        <is>
          <t>铜 20℃ 电阻率</t>
        </is>
      </c>
    </row>
    <row r="3">
      <c r="A3" s="2" t="inlineStr">
        <is>
          <t>derate</t>
        </is>
      </c>
      <c r="B3" s="2" t="n">
        <v>0.87</v>
      </c>
      <c r="C3" s="2" t="inlineStr">
        <is>
          <t>-</t>
        </is>
      </c>
      <c r="D3" s="2" t="inlineStr">
        <is>
          <t>40℃ 环境温度修正系数（PVC 绝缘）</t>
        </is>
      </c>
    </row>
    <row r="4">
      <c r="A4" s="2" t="inlineStr">
        <is>
          <t>C1_Ib</t>
        </is>
      </c>
      <c r="B4" s="2" t="n">
        <v>14.49</v>
      </c>
      <c r="C4" s="2" t="inlineStr">
        <is>
          <t>A</t>
        </is>
      </c>
      <c r="D4" s="2" t="inlineStr">
        <is>
          <t>C1 组件串线设计电流（Isc 最不利）</t>
        </is>
      </c>
    </row>
    <row r="5">
      <c r="A5" s="2" t="inlineStr">
        <is>
          <t>C1_L</t>
        </is>
      </c>
      <c r="B5" s="2" t="n">
        <v>1</v>
      </c>
      <c r="C5" s="2" t="inlineStr">
        <is>
          <t>m</t>
        </is>
      </c>
      <c r="D5" s="2" t="inlineStr">
        <is>
          <t>C1 长度（组件间互联）</t>
        </is>
      </c>
    </row>
    <row r="6">
      <c r="A6" s="2" t="inlineStr">
        <is>
          <t>C1_S</t>
        </is>
      </c>
      <c r="B6" s="2" t="n">
        <v>4</v>
      </c>
      <c r="C6" s="2" t="inlineStr">
        <is>
          <t>mm²</t>
        </is>
      </c>
      <c r="D6" s="2" t="inlineStr">
        <is>
          <t>C1 截面（PV1-F）</t>
        </is>
      </c>
    </row>
    <row r="7">
      <c r="A7" s="2" t="inlineStr">
        <is>
          <t>C1_In</t>
        </is>
      </c>
      <c r="B7" s="2" t="n">
        <v>25</v>
      </c>
      <c r="C7" s="2" t="inlineStr">
        <is>
          <t>A</t>
        </is>
      </c>
      <c r="D7" s="2" t="inlineStr">
        <is>
          <t>C1 保护器件（组串熔断器）</t>
        </is>
      </c>
    </row>
    <row r="8">
      <c r="A8" s="2" t="inlineStr">
        <is>
          <t>C1_Un</t>
        </is>
      </c>
      <c r="B8" s="2" t="n">
        <v>192.5</v>
      </c>
      <c r="C8" s="2" t="inlineStr">
        <is>
          <t>V</t>
        </is>
      </c>
      <c r="D8" s="2" t="inlineStr">
        <is>
          <t>C1 电压降基准（Vmp 低温）</t>
        </is>
      </c>
    </row>
    <row r="9">
      <c r="A9" s="2" t="inlineStr">
        <is>
          <t>C1_Iz</t>
        </is>
      </c>
      <c r="B9" s="2" t="n">
        <v>55</v>
      </c>
      <c r="C9" s="2" t="inlineStr">
        <is>
          <t>A</t>
        </is>
      </c>
      <c r="D9" s="2" t="inlineStr">
        <is>
          <t>C1 载流量基准（PV1-F 4mm², 空气中 90℃）</t>
        </is>
      </c>
    </row>
    <row r="10">
      <c r="A10" s="2" t="inlineStr">
        <is>
          <t>C2_Ib</t>
        </is>
      </c>
      <c r="B10" s="2" t="n">
        <v>13.6</v>
      </c>
      <c r="C10" s="2" t="inlineStr">
        <is>
          <t>A</t>
        </is>
      </c>
      <c r="D10" s="2" t="inlineStr">
        <is>
          <t>C2 组串→MPPT 运行电流</t>
        </is>
      </c>
    </row>
    <row r="11">
      <c r="A11" s="2" t="inlineStr">
        <is>
          <t>C2_L</t>
        </is>
      </c>
      <c r="B11" s="2" t="n">
        <v>15</v>
      </c>
      <c r="C11" s="2" t="inlineStr">
        <is>
          <t>m</t>
        </is>
      </c>
      <c r="D11" s="2" t="inlineStr">
        <is>
          <t>C2 长度</t>
        </is>
      </c>
    </row>
    <row r="12">
      <c r="A12" s="2" t="inlineStr">
        <is>
          <t>C2_S</t>
        </is>
      </c>
      <c r="B12" s="2" t="n">
        <v>4</v>
      </c>
      <c r="C12" s="2" t="inlineStr">
        <is>
          <t>mm²</t>
        </is>
      </c>
      <c r="D12" s="2" t="inlineStr">
        <is>
          <t>C2 截面（PV1-F）</t>
        </is>
      </c>
    </row>
    <row r="13">
      <c r="A13" s="2" t="inlineStr">
        <is>
          <t>C2_In</t>
        </is>
      </c>
      <c r="B13" s="2" t="n">
        <v>25</v>
      </c>
      <c r="C13" s="2" t="inlineStr">
        <is>
          <t>A</t>
        </is>
      </c>
      <c r="D13" s="2" t="inlineStr">
        <is>
          <t>C2 保护（组串熔断器）</t>
        </is>
      </c>
    </row>
    <row r="14">
      <c r="A14" s="2" t="inlineStr">
        <is>
          <t>C2_Un</t>
        </is>
      </c>
      <c r="B14" s="2" t="n">
        <v>192.5</v>
      </c>
      <c r="C14" s="2" t="inlineStr">
        <is>
          <t>V</t>
        </is>
      </c>
      <c r="D14" s="2" t="inlineStr">
        <is>
          <t>C2 基准（Vmp 低温）</t>
        </is>
      </c>
    </row>
    <row r="15">
      <c r="A15" s="2" t="inlineStr">
        <is>
          <t>C2_Iz</t>
        </is>
      </c>
      <c r="B15" s="2" t="n">
        <v>55</v>
      </c>
      <c r="C15" s="2" t="inlineStr">
        <is>
          <t>A</t>
        </is>
      </c>
      <c r="D15" s="2" t="inlineStr">
        <is>
          <t>C2 载流量基准</t>
        </is>
      </c>
    </row>
    <row r="16">
      <c r="A16" s="2" t="inlineStr">
        <is>
          <t>C3_Ib</t>
        </is>
      </c>
      <c r="B16" s="2" t="n">
        <v>52.9</v>
      </c>
      <c r="C16" s="2" t="inlineStr">
        <is>
          <t>A</t>
        </is>
      </c>
      <c r="D16" s="2" t="inlineStr">
        <is>
          <t>C3 MPPT→电池充电电流（哈尔滨 52.9A/台，两机合计105.9A）</t>
        </is>
      </c>
    </row>
    <row r="17">
      <c r="A17" s="2" t="inlineStr">
        <is>
          <t>C3_L</t>
        </is>
      </c>
      <c r="B17" s="2" t="n">
        <v>3</v>
      </c>
      <c r="C17" s="2" t="inlineStr">
        <is>
          <t>m</t>
        </is>
      </c>
      <c r="D17" s="2" t="inlineStr">
        <is>
          <t>C3 长度</t>
        </is>
      </c>
    </row>
    <row r="18">
      <c r="A18" s="2" t="inlineStr">
        <is>
          <t>C3_S</t>
        </is>
      </c>
      <c r="B18" s="2" t="n">
        <v>16</v>
      </c>
      <c r="C18" s="2" t="inlineStr">
        <is>
          <t>mm²</t>
        </is>
      </c>
      <c r="D18" s="2" t="inlineStr">
        <is>
          <t>C3 截面（RV）</t>
        </is>
      </c>
    </row>
    <row r="19">
      <c r="A19" s="2" t="inlineStr">
        <is>
          <t>C3_In</t>
        </is>
      </c>
      <c r="B19" s="2" t="n">
        <v>63</v>
      </c>
      <c r="C19" s="2" t="inlineStr">
        <is>
          <t>A</t>
        </is>
      </c>
      <c r="D19" s="2" t="inlineStr">
        <is>
          <t>C3 保护（DC MCB）</t>
        </is>
      </c>
    </row>
    <row r="20">
      <c r="A20" s="2" t="inlineStr">
        <is>
          <t>C3_Un</t>
        </is>
      </c>
      <c r="B20" s="2" t="n">
        <v>48</v>
      </c>
      <c r="C20" s="2" t="inlineStr">
        <is>
          <t>V</t>
        </is>
      </c>
      <c r="D20" s="2" t="inlineStr">
        <is>
          <t>C3 基准（48V 级）</t>
        </is>
      </c>
    </row>
    <row r="21">
      <c r="A21" s="2" t="inlineStr">
        <is>
          <t>C3_Iz</t>
        </is>
      </c>
      <c r="B21" s="2" t="n">
        <v>94</v>
      </c>
      <c r="C21" s="2" t="inlineStr">
        <is>
          <t>A</t>
        </is>
      </c>
      <c r="D21" s="2" t="inlineStr">
        <is>
          <t>C3 载流量基准</t>
        </is>
      </c>
    </row>
    <row r="22">
      <c r="A22" s="2" t="inlineStr">
        <is>
          <t>C4_Ib</t>
        </is>
      </c>
      <c r="B22" s="2" t="n">
        <v>119.5</v>
      </c>
      <c r="C22" s="2" t="inlineStr">
        <is>
          <t>A</t>
        </is>
      </c>
      <c r="D22" s="2" t="inlineStr">
        <is>
          <t>C4 电池→逆变器连续放电电流（哈尔滨 119.5A/台，两路独立）</t>
        </is>
      </c>
    </row>
    <row r="23">
      <c r="A23" s="2" t="inlineStr">
        <is>
          <t>C4_L</t>
        </is>
      </c>
      <c r="B23" s="2" t="n">
        <v>2</v>
      </c>
      <c r="C23" s="2" t="inlineStr">
        <is>
          <t>m</t>
        </is>
      </c>
      <c r="D23" s="2" t="inlineStr">
        <is>
          <t>C4 长度</t>
        </is>
      </c>
    </row>
    <row r="24">
      <c r="A24" s="2" t="inlineStr">
        <is>
          <t>C4_S</t>
        </is>
      </c>
      <c r="B24" s="2" t="n">
        <v>70</v>
      </c>
      <c r="C24" s="2" t="inlineStr">
        <is>
          <t>mm²</t>
        </is>
      </c>
      <c r="D24" s="2" t="inlineStr">
        <is>
          <t>C4 截面（RV）</t>
        </is>
      </c>
    </row>
    <row r="25">
      <c r="A25" s="2" t="inlineStr">
        <is>
          <t>C4_In</t>
        </is>
      </c>
      <c r="B25" s="2" t="n">
        <v>160</v>
      </c>
      <c r="C25" s="2" t="inlineStr">
        <is>
          <t>A</t>
        </is>
      </c>
      <c r="D25" s="2" t="inlineStr">
        <is>
          <t>C4 保护（总保护 DC MCB）</t>
        </is>
      </c>
    </row>
    <row r="26">
      <c r="A26" s="2" t="inlineStr">
        <is>
          <t>C4_Un</t>
        </is>
      </c>
      <c r="B26" s="2" t="n">
        <v>45</v>
      </c>
      <c r="C26" s="2" t="inlineStr">
        <is>
          <t>V</t>
        </is>
      </c>
      <c r="D26" s="2" t="inlineStr">
        <is>
          <t>C4 基准（最低电池电压 45V，红线）</t>
        </is>
      </c>
    </row>
    <row r="27">
      <c r="A27" s="2" t="inlineStr">
        <is>
          <t>C4_Iz</t>
        </is>
      </c>
      <c r="B27" s="2" t="n">
        <v>220</v>
      </c>
      <c r="C27" s="2" t="inlineStr">
        <is>
          <t>A</t>
        </is>
      </c>
      <c r="D27" s="2" t="inlineStr">
        <is>
          <t>C4 载流量基准</t>
        </is>
      </c>
    </row>
    <row r="28">
      <c r="A28" s="2" t="inlineStr">
        <is>
          <t>C5_Ib</t>
        </is>
      </c>
      <c r="B28" s="2" t="n">
        <v>20.9</v>
      </c>
      <c r="C28" s="2" t="inlineStr">
        <is>
          <t>A</t>
        </is>
      </c>
      <c r="D28" s="2" t="inlineStr">
        <is>
          <t>C5 逆变器→配电箱交流电流（哈尔滨 20.9A/台）</t>
        </is>
      </c>
    </row>
    <row r="29">
      <c r="A29" s="2" t="inlineStr">
        <is>
          <t>C5_L</t>
        </is>
      </c>
      <c r="B29" s="2" t="n">
        <v>5</v>
      </c>
      <c r="C29" s="2" t="inlineStr">
        <is>
          <t>m</t>
        </is>
      </c>
      <c r="D29" s="2" t="inlineStr">
        <is>
          <t>C5 长度</t>
        </is>
      </c>
    </row>
    <row r="30">
      <c r="A30" s="2" t="inlineStr">
        <is>
          <t>C5_S</t>
        </is>
      </c>
      <c r="B30" s="2" t="n">
        <v>6</v>
      </c>
      <c r="C30" s="2" t="inlineStr">
        <is>
          <t>mm²</t>
        </is>
      </c>
      <c r="D30" s="2" t="inlineStr">
        <is>
          <t>C5 截面（RVV）</t>
        </is>
      </c>
    </row>
    <row r="31">
      <c r="A31" s="2" t="inlineStr">
        <is>
          <t>C5_In</t>
        </is>
      </c>
      <c r="B31" s="2" t="n">
        <v>32</v>
      </c>
      <c r="C31" s="2" t="inlineStr">
        <is>
          <t>A</t>
        </is>
      </c>
      <c r="D31" s="2" t="inlineStr">
        <is>
          <t>C5 保护（AC MCB）</t>
        </is>
      </c>
    </row>
    <row r="32">
      <c r="A32" s="2" t="inlineStr">
        <is>
          <t>C5_Un</t>
        </is>
      </c>
      <c r="B32" s="2" t="n">
        <v>220</v>
      </c>
      <c r="C32" s="2" t="inlineStr">
        <is>
          <t>V</t>
        </is>
      </c>
      <c r="D32" s="2" t="inlineStr">
        <is>
          <t>C5 基准（220V）</t>
        </is>
      </c>
    </row>
    <row r="33">
      <c r="A33" s="2" t="inlineStr">
        <is>
          <t>C5_Iz</t>
        </is>
      </c>
      <c r="B33" s="2" t="n">
        <v>51</v>
      </c>
      <c r="C33" s="2" t="inlineStr">
        <is>
          <t>A</t>
        </is>
      </c>
      <c r="D33" s="2" t="inlineStr">
        <is>
          <t>C5 载流量基准</t>
        </is>
      </c>
    </row>
    <row r="34">
      <c r="A34" s="2" t="inlineStr">
        <is>
          <t>C6a_Ib</t>
        </is>
      </c>
      <c r="B34" s="2" t="n">
        <v>1.7</v>
      </c>
      <c r="C34" s="2" t="inlineStr">
        <is>
          <t>A</t>
        </is>
      </c>
      <c r="D34" s="2" t="inlineStr">
        <is>
          <t>C6a 照明回路电流</t>
        </is>
      </c>
    </row>
    <row r="35">
      <c r="A35" s="2" t="inlineStr">
        <is>
          <t>C6a_L</t>
        </is>
      </c>
      <c r="B35" s="2" t="n">
        <v>20</v>
      </c>
      <c r="C35" s="2" t="inlineStr">
        <is>
          <t>m</t>
        </is>
      </c>
      <c r="D35" s="2" t="inlineStr">
        <is>
          <t>C6a 长度</t>
        </is>
      </c>
    </row>
    <row r="36">
      <c r="A36" s="2" t="inlineStr">
        <is>
          <t>C6a_S</t>
        </is>
      </c>
      <c r="B36" s="2" t="n">
        <v>2.5</v>
      </c>
      <c r="C36" s="2" t="inlineStr">
        <is>
          <t>mm²</t>
        </is>
      </c>
      <c r="D36" s="2" t="inlineStr">
        <is>
          <t>C6a 截面（BV）</t>
        </is>
      </c>
    </row>
    <row r="37">
      <c r="A37" s="2" t="inlineStr">
        <is>
          <t>C6a_In</t>
        </is>
      </c>
      <c r="B37" s="2" t="n">
        <v>10</v>
      </c>
      <c r="C37" s="2" t="inlineStr">
        <is>
          <t>A</t>
        </is>
      </c>
      <c r="D37" s="2" t="inlineStr">
        <is>
          <t>C6a 保护（MCB）</t>
        </is>
      </c>
    </row>
    <row r="38">
      <c r="A38" s="2" t="inlineStr">
        <is>
          <t>C6a_Un</t>
        </is>
      </c>
      <c r="B38" s="2" t="n">
        <v>220</v>
      </c>
      <c r="C38" s="2" t="inlineStr">
        <is>
          <t>V</t>
        </is>
      </c>
      <c r="D38" s="2" t="inlineStr">
        <is>
          <t>C6a 基准</t>
        </is>
      </c>
    </row>
    <row r="39">
      <c r="A39" s="2" t="inlineStr">
        <is>
          <t>C6a_Iz</t>
        </is>
      </c>
      <c r="B39" s="2" t="n">
        <v>30</v>
      </c>
      <c r="C39" s="2" t="inlineStr">
        <is>
          <t>A</t>
        </is>
      </c>
      <c r="D39" s="2" t="inlineStr">
        <is>
          <t>C6a 载流量基准</t>
        </is>
      </c>
    </row>
    <row r="40">
      <c r="A40" s="2" t="inlineStr">
        <is>
          <t>C6b_Ib</t>
        </is>
      </c>
      <c r="B40" s="2" t="n">
        <v>13.6</v>
      </c>
      <c r="C40" s="2" t="inlineStr">
        <is>
          <t>A</t>
        </is>
      </c>
      <c r="D40" s="2" t="inlineStr">
        <is>
          <t>C6b 厨房插座（炊事高峰 3.0kW）</t>
        </is>
      </c>
    </row>
    <row r="41">
      <c r="A41" s="2" t="inlineStr">
        <is>
          <t>C6b_L</t>
        </is>
      </c>
      <c r="B41" s="2" t="n">
        <v>15</v>
      </c>
      <c r="C41" s="2" t="inlineStr">
        <is>
          <t>m</t>
        </is>
      </c>
      <c r="D41" s="2" t="inlineStr">
        <is>
          <t>C6b 长度</t>
        </is>
      </c>
    </row>
    <row r="42">
      <c r="A42" s="2" t="inlineStr">
        <is>
          <t>C6b_S</t>
        </is>
      </c>
      <c r="B42" s="2" t="n">
        <v>4</v>
      </c>
      <c r="C42" s="2" t="inlineStr">
        <is>
          <t>mm²</t>
        </is>
      </c>
      <c r="D42" s="2" t="inlineStr">
        <is>
          <t>C6b 截面（BV）</t>
        </is>
      </c>
    </row>
    <row r="43">
      <c r="A43" s="2" t="inlineStr">
        <is>
          <t>C6b_In</t>
        </is>
      </c>
      <c r="B43" s="2" t="n">
        <v>20</v>
      </c>
      <c r="C43" s="2" t="inlineStr">
        <is>
          <t>A</t>
        </is>
      </c>
      <c r="D43" s="2" t="inlineStr">
        <is>
          <t>C6b 保护（MCB）</t>
        </is>
      </c>
    </row>
    <row r="44">
      <c r="A44" s="2" t="inlineStr">
        <is>
          <t>C6b_Un</t>
        </is>
      </c>
      <c r="B44" s="2" t="n">
        <v>220</v>
      </c>
      <c r="C44" s="2" t="inlineStr">
        <is>
          <t>V</t>
        </is>
      </c>
      <c r="D44" s="2" t="inlineStr">
        <is>
          <t>C6b 基准</t>
        </is>
      </c>
    </row>
    <row r="45">
      <c r="A45" s="2" t="inlineStr">
        <is>
          <t>C6b_Iz</t>
        </is>
      </c>
      <c r="B45" s="2" t="n">
        <v>40</v>
      </c>
      <c r="C45" s="2" t="inlineStr">
        <is>
          <t>A</t>
        </is>
      </c>
      <c r="D45" s="2" t="inlineStr">
        <is>
          <t>C6b 载流量基准</t>
        </is>
      </c>
    </row>
    <row r="46">
      <c r="A46" s="2" t="inlineStr">
        <is>
          <t>C6c_Ib</t>
        </is>
      </c>
      <c r="B46" s="2" t="n">
        <v>6.1</v>
      </c>
      <c r="C46" s="2" t="inlineStr">
        <is>
          <t>A</t>
        </is>
      </c>
      <c r="D46" s="2" t="inlineStr">
        <is>
          <t>C6c 采暖插座（电暖器1.2+电热毯0.15≈1.35kW）</t>
        </is>
      </c>
    </row>
    <row r="47">
      <c r="A47" s="2" t="inlineStr">
        <is>
          <t>C6c_L</t>
        </is>
      </c>
      <c r="B47" s="2" t="n">
        <v>20</v>
      </c>
      <c r="C47" s="2" t="inlineStr">
        <is>
          <t>m</t>
        </is>
      </c>
      <c r="D47" s="2" t="inlineStr">
        <is>
          <t>C6c 长度</t>
        </is>
      </c>
    </row>
    <row r="48">
      <c r="A48" s="2" t="inlineStr">
        <is>
          <t>C6c_S</t>
        </is>
      </c>
      <c r="B48" s="2" t="n">
        <v>2.5</v>
      </c>
      <c r="C48" s="2" t="inlineStr">
        <is>
          <t>mm²</t>
        </is>
      </c>
      <c r="D48" s="2" t="inlineStr">
        <is>
          <t>C6c 截面（BV）</t>
        </is>
      </c>
    </row>
    <row r="49">
      <c r="A49" s="2" t="inlineStr">
        <is>
          <t>C6c_In</t>
        </is>
      </c>
      <c r="B49" s="2" t="n">
        <v>10</v>
      </c>
      <c r="C49" s="2" t="inlineStr">
        <is>
          <t>A</t>
        </is>
      </c>
      <c r="D49" s="2" t="inlineStr">
        <is>
          <t>C6c 保护（MCB）</t>
        </is>
      </c>
    </row>
    <row r="50">
      <c r="A50" s="2" t="inlineStr">
        <is>
          <t>C6c_Un</t>
        </is>
      </c>
      <c r="B50" s="2" t="n">
        <v>220</v>
      </c>
      <c r="C50" s="2" t="inlineStr">
        <is>
          <t>V</t>
        </is>
      </c>
      <c r="D50" s="2" t="inlineStr">
        <is>
          <t>C6c 基准</t>
        </is>
      </c>
    </row>
    <row r="51">
      <c r="A51" s="2" t="inlineStr">
        <is>
          <t>C6c_Iz</t>
        </is>
      </c>
      <c r="B51" s="2" t="n">
        <v>30</v>
      </c>
      <c r="C51" s="2" t="inlineStr">
        <is>
          <t>A</t>
        </is>
      </c>
      <c r="D51" s="2" t="inlineStr">
        <is>
          <t>C6c 载流量基准</t>
        </is>
      </c>
    </row>
    <row r="52">
      <c r="A52" s="2" t="inlineStr">
        <is>
          <t>C6d_Ib</t>
        </is>
      </c>
      <c r="B52" s="2" t="n">
        <v>3.8</v>
      </c>
      <c r="C52" s="2" t="inlineStr">
        <is>
          <t>A</t>
        </is>
      </c>
      <c r="D52" s="2" t="inlineStr">
        <is>
          <t>C6d 其他插座电流（含夏季空调 845W）</t>
        </is>
      </c>
    </row>
    <row r="53">
      <c r="A53" s="2" t="inlineStr">
        <is>
          <t>C6d_L</t>
        </is>
      </c>
      <c r="B53" s="2" t="n">
        <v>20</v>
      </c>
      <c r="C53" s="2" t="inlineStr">
        <is>
          <t>m</t>
        </is>
      </c>
      <c r="D53" s="2" t="inlineStr">
        <is>
          <t>C6d 长度</t>
        </is>
      </c>
    </row>
    <row r="54">
      <c r="A54" s="2" t="inlineStr">
        <is>
          <t>C6d_S</t>
        </is>
      </c>
      <c r="B54" s="2" t="n">
        <v>2.5</v>
      </c>
      <c r="C54" s="2" t="inlineStr">
        <is>
          <t>mm²</t>
        </is>
      </c>
      <c r="D54" s="2" t="inlineStr">
        <is>
          <t>C6d 截面（BV）</t>
        </is>
      </c>
    </row>
    <row r="55">
      <c r="A55" s="2" t="inlineStr">
        <is>
          <t>C6d_In</t>
        </is>
      </c>
      <c r="B55" s="2" t="n">
        <v>16</v>
      </c>
      <c r="C55" s="2" t="inlineStr">
        <is>
          <t>A</t>
        </is>
      </c>
      <c r="D55" s="2" t="inlineStr">
        <is>
          <t>C6d 保护（MCB）</t>
        </is>
      </c>
    </row>
    <row r="56">
      <c r="A56" s="2" t="inlineStr">
        <is>
          <t>C6d_Un</t>
        </is>
      </c>
      <c r="B56" s="2" t="n">
        <v>220</v>
      </c>
      <c r="C56" s="2" t="inlineStr">
        <is>
          <t>V</t>
        </is>
      </c>
      <c r="D56" s="2" t="inlineStr">
        <is>
          <t>C6d 基准</t>
        </is>
      </c>
    </row>
    <row r="57">
      <c r="A57" s="2" t="inlineStr">
        <is>
          <t>C6d_Iz</t>
        </is>
      </c>
      <c r="B57" s="2" t="n">
        <v>30</v>
      </c>
      <c r="C57" s="2" t="inlineStr">
        <is>
          <t>A</t>
        </is>
      </c>
      <c r="D57" s="2" t="inlineStr">
        <is>
          <t>C6d 载流量基准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6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</cols>
  <sheetData>
    <row r="1">
      <c r="A1" s="1" t="inlineStr">
        <is>
          <t>回路</t>
        </is>
      </c>
      <c r="B1" s="1" t="inlineStr">
        <is>
          <t>线缆</t>
        </is>
      </c>
      <c r="C1" s="1" t="inlineStr">
        <is>
          <t>截面S</t>
        </is>
      </c>
      <c r="D1" s="1" t="inlineStr">
        <is>
          <t>L</t>
        </is>
      </c>
      <c r="E1" s="1" t="inlineStr">
        <is>
          <t>Ib</t>
        </is>
      </c>
      <c r="F1" s="1" t="inlineStr">
        <is>
          <t>In</t>
        </is>
      </c>
      <c r="G1" s="1" t="inlineStr">
        <is>
          <t>Iz(40℃)</t>
        </is>
      </c>
      <c r="H1" s="1" t="inlineStr">
        <is>
          <t>ΔU</t>
        </is>
      </c>
      <c r="I1" s="1" t="inlineStr">
        <is>
          <t>δU</t>
        </is>
      </c>
      <c r="J1" s="1" t="inlineStr">
        <is>
          <t>Un基准</t>
        </is>
      </c>
      <c r="K1" s="1" t="inlineStr">
        <is>
          <t>载流量</t>
        </is>
      </c>
      <c r="L1" s="1" t="inlineStr">
        <is>
          <t>压降</t>
        </is>
      </c>
    </row>
    <row r="2">
      <c r="A2" s="2" t="inlineStr">
        <is>
          <t>C1 光伏组件串线</t>
        </is>
      </c>
      <c r="B2" s="2" t="inlineStr">
        <is>
          <t>PV1-F 1×4mm²</t>
        </is>
      </c>
      <c r="C2" s="2">
        <f>参数!B6</f>
        <v/>
      </c>
      <c r="D2" s="2">
        <f>参数!B5</f>
        <v/>
      </c>
      <c r="E2" s="2">
        <f>参数!B4</f>
        <v/>
      </c>
      <c r="F2" s="2">
        <f>参数!B7</f>
        <v/>
      </c>
      <c r="G2" s="2">
        <f>ROUND(参数!B9*参数!B3,1)</f>
        <v/>
      </c>
      <c r="H2" s="2">
        <f>ROUND(2*参数!B2*参数!B5*参数!B4/参数!B6,3)</f>
        <v/>
      </c>
      <c r="I2" s="2">
        <f>ROUND(H2/J2*100,2)</f>
        <v/>
      </c>
      <c r="J2" s="2">
        <f>参数!B8</f>
        <v/>
      </c>
      <c r="K2" s="2">
        <f>IF(AND(E2&lt;=F2,F2&lt;=G2),"OK","FAIL")</f>
        <v/>
      </c>
      <c r="L2" s="2">
        <f>IF(AND(J2&lt;=60,I2&lt;=2),"OK",IF(AND(J2&gt;60,I2&lt;=3),"OK","FAIL"))</f>
        <v/>
      </c>
    </row>
    <row r="3">
      <c r="A3" s="2" t="inlineStr">
        <is>
          <t>C2 组串→MPPT</t>
        </is>
      </c>
      <c r="B3" s="2" t="inlineStr">
        <is>
          <t>PV1-F 1×4mm²</t>
        </is>
      </c>
      <c r="C3" s="2">
        <f>参数!B12</f>
        <v/>
      </c>
      <c r="D3" s="2">
        <f>参数!B11</f>
        <v/>
      </c>
      <c r="E3" s="2">
        <f>参数!B10</f>
        <v/>
      </c>
      <c r="F3" s="2">
        <f>参数!B13</f>
        <v/>
      </c>
      <c r="G3" s="2">
        <f>ROUND(参数!B15*参数!B3,1)</f>
        <v/>
      </c>
      <c r="H3" s="2">
        <f>ROUND(2*参数!B2*参数!B11*参数!B10/参数!B12,3)</f>
        <v/>
      </c>
      <c r="I3" s="2">
        <f>ROUND(H3/J3*100,2)</f>
        <v/>
      </c>
      <c r="J3" s="2">
        <f>参数!B14</f>
        <v/>
      </c>
      <c r="K3" s="2">
        <f>IF(AND(E3&lt;=F3,F3&lt;=G3),"OK","FAIL")</f>
        <v/>
      </c>
      <c r="L3" s="2">
        <f>IF(AND(J3&lt;=60,I3&lt;=2),"OK",IF(AND(J3&gt;60,I3&lt;=3),"OK","FAIL"))</f>
        <v/>
      </c>
    </row>
    <row r="4">
      <c r="A4" s="2" t="inlineStr">
        <is>
          <t>C3 MPPT→蓄电池</t>
        </is>
      </c>
      <c r="B4" s="2" t="inlineStr">
        <is>
          <t>RV 1×16mm²</t>
        </is>
      </c>
      <c r="C4" s="2">
        <f>参数!B18</f>
        <v/>
      </c>
      <c r="D4" s="2">
        <f>参数!B17</f>
        <v/>
      </c>
      <c r="E4" s="2">
        <f>参数!B16</f>
        <v/>
      </c>
      <c r="F4" s="2">
        <f>参数!B19</f>
        <v/>
      </c>
      <c r="G4" s="2">
        <f>ROUND(参数!B21*参数!B3,1)</f>
        <v/>
      </c>
      <c r="H4" s="2">
        <f>ROUND(2*参数!B2*参数!B17*参数!B16/参数!B18,3)</f>
        <v/>
      </c>
      <c r="I4" s="2">
        <f>ROUND(H4/J4*100,2)</f>
        <v/>
      </c>
      <c r="J4" s="2">
        <f>参数!B20</f>
        <v/>
      </c>
      <c r="K4" s="2">
        <f>IF(AND(E4&lt;=F4,F4&lt;=G4),"OK","FAIL")</f>
        <v/>
      </c>
      <c r="L4" s="2">
        <f>IF(AND(J4&lt;=60,I4&lt;=2),"OK",IF(AND(J4&gt;60,I4&lt;=3),"OK","FAIL"))</f>
        <v/>
      </c>
    </row>
    <row r="5">
      <c r="A5" s="2" t="inlineStr">
        <is>
          <t>C4 蓄电池→逆变器</t>
        </is>
      </c>
      <c r="B5" s="2" t="inlineStr">
        <is>
          <t>RV 1×70mm²</t>
        </is>
      </c>
      <c r="C5" s="2">
        <f>参数!B24</f>
        <v/>
      </c>
      <c r="D5" s="2">
        <f>参数!B23</f>
        <v/>
      </c>
      <c r="E5" s="2">
        <f>参数!B22</f>
        <v/>
      </c>
      <c r="F5" s="2">
        <f>参数!B25</f>
        <v/>
      </c>
      <c r="G5" s="2">
        <f>ROUND(参数!B27*参数!B3,1)</f>
        <v/>
      </c>
      <c r="H5" s="2">
        <f>ROUND(2*参数!B2*参数!B23*参数!B22/参数!B24,3)</f>
        <v/>
      </c>
      <c r="I5" s="2">
        <f>ROUND(H5/J5*100,2)</f>
        <v/>
      </c>
      <c r="J5" s="2">
        <f>参数!B26</f>
        <v/>
      </c>
      <c r="K5" s="2">
        <f>IF(AND(E5&lt;=F5,F5&lt;=G5),"OK","FAIL")</f>
        <v/>
      </c>
      <c r="L5" s="2">
        <f>IF(AND(J5&lt;=60,I5&lt;=2),"OK",IF(AND(J5&gt;60,I5&lt;=3),"OK","FAIL"))</f>
        <v/>
      </c>
    </row>
    <row r="6">
      <c r="A6" s="2" t="inlineStr">
        <is>
          <t>C5 逆变器→交流配电箱</t>
        </is>
      </c>
      <c r="B6" s="2" t="inlineStr">
        <is>
          <t>RVV 3×6mm²</t>
        </is>
      </c>
      <c r="C6" s="2">
        <f>参数!B30</f>
        <v/>
      </c>
      <c r="D6" s="2">
        <f>参数!B29</f>
        <v/>
      </c>
      <c r="E6" s="2">
        <f>参数!B28</f>
        <v/>
      </c>
      <c r="F6" s="2">
        <f>参数!B31</f>
        <v/>
      </c>
      <c r="G6" s="2">
        <f>ROUND(参数!B33*参数!B3,1)</f>
        <v/>
      </c>
      <c r="H6" s="2">
        <f>ROUND(2*参数!B2*参数!B29*参数!B28/参数!B30,3)</f>
        <v/>
      </c>
      <c r="I6" s="2">
        <f>ROUND(H6/J6*100,2)</f>
        <v/>
      </c>
      <c r="J6" s="2">
        <f>参数!B32</f>
        <v/>
      </c>
      <c r="K6" s="2">
        <f>IF(AND(E6&lt;=F6,F6&lt;=G6),"OK","FAIL")</f>
        <v/>
      </c>
      <c r="L6" s="2">
        <f>IF(AND(J6&lt;=60,I6&lt;=2),"OK",IF(AND(J6&gt;60,I6&lt;=3),"OK","FAIL"))</f>
        <v/>
      </c>
    </row>
    <row r="7">
      <c r="A7" s="2" t="inlineStr">
        <is>
          <t>C6a 照明回路</t>
        </is>
      </c>
      <c r="B7" s="2" t="inlineStr">
        <is>
          <t>BV 3×2.5mm²</t>
        </is>
      </c>
      <c r="C7" s="2">
        <f>参数!B36</f>
        <v/>
      </c>
      <c r="D7" s="2">
        <f>参数!B35</f>
        <v/>
      </c>
      <c r="E7" s="2">
        <f>参数!B34</f>
        <v/>
      </c>
      <c r="F7" s="2">
        <f>参数!B37</f>
        <v/>
      </c>
      <c r="G7" s="2">
        <f>ROUND(参数!B39*参数!B3,1)</f>
        <v/>
      </c>
      <c r="H7" s="2">
        <f>ROUND(2*参数!B2*参数!B35*参数!B34/参数!B36,3)</f>
        <v/>
      </c>
      <c r="I7" s="2">
        <f>ROUND(H7/J7*100,2)</f>
        <v/>
      </c>
      <c r="J7" s="2">
        <f>参数!B38</f>
        <v/>
      </c>
      <c r="K7" s="2">
        <f>IF(AND(E7&lt;=F7,F7&lt;=G7),"OK","FAIL")</f>
        <v/>
      </c>
      <c r="L7" s="2">
        <f>IF(AND(J7&lt;=60,I7&lt;=2),"OK",IF(AND(J7&gt;60,I7&lt;=3),"OK","FAIL"))</f>
        <v/>
      </c>
    </row>
    <row r="8">
      <c r="A8" s="2" t="inlineStr">
        <is>
          <t>C6b 厨房插座(炊事)</t>
        </is>
      </c>
      <c r="B8" s="2" t="inlineStr">
        <is>
          <t>BV 3×4mm²</t>
        </is>
      </c>
      <c r="C8" s="2">
        <f>参数!B42</f>
        <v/>
      </c>
      <c r="D8" s="2">
        <f>参数!B41</f>
        <v/>
      </c>
      <c r="E8" s="2">
        <f>参数!B40</f>
        <v/>
      </c>
      <c r="F8" s="2">
        <f>参数!B43</f>
        <v/>
      </c>
      <c r="G8" s="2">
        <f>ROUND(参数!B45*参数!B3,1)</f>
        <v/>
      </c>
      <c r="H8" s="2">
        <f>ROUND(2*参数!B2*参数!B41*参数!B40/参数!B42,3)</f>
        <v/>
      </c>
      <c r="I8" s="2">
        <f>ROUND(H8/J8*100,2)</f>
        <v/>
      </c>
      <c r="J8" s="2">
        <f>参数!B44</f>
        <v/>
      </c>
      <c r="K8" s="2">
        <f>IF(AND(E8&lt;=F8,F8&lt;=G8),"OK","FAIL")</f>
        <v/>
      </c>
      <c r="L8" s="2">
        <f>IF(AND(J8&lt;=60,I8&lt;=2),"OK",IF(AND(J8&gt;60,I8&lt;=3),"OK","FAIL"))</f>
        <v/>
      </c>
    </row>
    <row r="9">
      <c r="A9" s="2" t="inlineStr">
        <is>
          <t>C6c 采暖插座</t>
        </is>
      </c>
      <c r="B9" s="2" t="inlineStr">
        <is>
          <t>BV 3×2.5mm²</t>
        </is>
      </c>
      <c r="C9" s="2">
        <f>参数!B48</f>
        <v/>
      </c>
      <c r="D9" s="2">
        <f>参数!B47</f>
        <v/>
      </c>
      <c r="E9" s="2">
        <f>参数!B46</f>
        <v/>
      </c>
      <c r="F9" s="2">
        <f>参数!B49</f>
        <v/>
      </c>
      <c r="G9" s="2">
        <f>ROUND(参数!B51*参数!B3,1)</f>
        <v/>
      </c>
      <c r="H9" s="2">
        <f>ROUND(2*参数!B2*参数!B47*参数!B46/参数!B48,3)</f>
        <v/>
      </c>
      <c r="I9" s="2">
        <f>ROUND(H9/J9*100,2)</f>
        <v/>
      </c>
      <c r="J9" s="2">
        <f>参数!B50</f>
        <v/>
      </c>
      <c r="K9" s="2">
        <f>IF(AND(E9&lt;=F9,F9&lt;=G9),"OK","FAIL")</f>
        <v/>
      </c>
      <c r="L9" s="2">
        <f>IF(AND(J9&lt;=60,I9&lt;=2),"OK",IF(AND(J9&gt;60,I9&lt;=3),"OK","FAIL"))</f>
        <v/>
      </c>
    </row>
    <row r="10">
      <c r="A10" s="2" t="inlineStr">
        <is>
          <t>C6d 其他插座</t>
        </is>
      </c>
      <c r="B10" s="2" t="inlineStr">
        <is>
          <t>BV 3×2.5mm²</t>
        </is>
      </c>
      <c r="C10" s="2">
        <f>参数!B54</f>
        <v/>
      </c>
      <c r="D10" s="2">
        <f>参数!B53</f>
        <v/>
      </c>
      <c r="E10" s="2">
        <f>参数!B52</f>
        <v/>
      </c>
      <c r="F10" s="2">
        <f>参数!B55</f>
        <v/>
      </c>
      <c r="G10" s="2">
        <f>ROUND(参数!B57*参数!B3,1)</f>
        <v/>
      </c>
      <c r="H10" s="2">
        <f>ROUND(2*参数!B2*参数!B53*参数!B52/参数!B54,3)</f>
        <v/>
      </c>
      <c r="I10" s="2">
        <f>ROUND(H10/J10*100,2)</f>
        <v/>
      </c>
      <c r="J10" s="2">
        <f>参数!B56</f>
        <v/>
      </c>
      <c r="K10" s="2">
        <f>IF(AND(E10&lt;=F10,F10&lt;=G10),"OK","FAIL")</f>
        <v/>
      </c>
      <c r="L10" s="2">
        <f>IF(AND(J10&lt;=60,I10&lt;=2),"OK",IF(AND(J10&gt;60,I10&lt;=3),"OK","FAIL"))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56" customWidth="1" min="4" max="4"/>
  </cols>
  <sheetData>
    <row r="1">
      <c r="A1" s="1" t="inlineStr">
        <is>
          <t>位置</t>
        </is>
      </c>
      <c r="B1" s="1" t="inlineStr">
        <is>
          <t>保护器件</t>
        </is>
      </c>
      <c r="C1" s="1" t="inlineStr">
        <is>
          <t>选型</t>
        </is>
      </c>
      <c r="D1" s="1" t="inlineStr">
        <is>
          <t>依据</t>
        </is>
      </c>
    </row>
    <row r="2">
      <c r="A2" s="2" t="inlineStr">
        <is>
          <t>光伏输入侧</t>
        </is>
      </c>
      <c r="B2" s="2" t="inlineStr">
        <is>
          <t>组串熔断器</t>
        </is>
      </c>
      <c r="C2" s="2" t="inlineStr">
        <is>
          <t>2×25A gPV 直流</t>
        </is>
      </c>
      <c r="D2" s="2" t="inlineStr">
        <is>
          <t>≥1.4×Isc=20.3A/串，&lt;组件最大串联熔断器 30A（GB 50797）</t>
        </is>
      </c>
    </row>
    <row r="3">
      <c r="A3" s="2" t="inlineStr">
        <is>
          <t>光伏输入侧</t>
        </is>
      </c>
      <c r="B3" s="2" t="inlineStr">
        <is>
          <t>直流隔离</t>
        </is>
      </c>
      <c r="C3" s="2" t="inlineStr">
        <is>
          <t>2×2P 隔离开关 ≥600Vdc</t>
        </is>
      </c>
      <c r="D3" s="2" t="inlineStr">
        <is>
          <t>≥组串 Voc,cold=299.0V，检修隔离</t>
        </is>
      </c>
    </row>
    <row r="4">
      <c r="A4" s="2" t="inlineStr">
        <is>
          <t>光伏输入侧</t>
        </is>
      </c>
      <c r="B4" s="2" t="inlineStr">
        <is>
          <t>直流 SPD</t>
        </is>
      </c>
      <c r="C4" s="2" t="inlineStr">
        <is>
          <t>2×Type II 1000Vdc，Ucpv≥360V</t>
        </is>
      </c>
      <c r="D4" s="2" t="inlineStr">
        <is>
          <t>GB/T 32512，1.2×Voc,cold=358.8V</t>
        </is>
      </c>
    </row>
    <row r="5">
      <c r="A5" s="2" t="inlineStr">
        <is>
          <t>蓄电池侧</t>
        </is>
      </c>
      <c r="B5" s="2" t="inlineStr">
        <is>
          <t>支路熔断器</t>
        </is>
      </c>
      <c r="C5" s="2" t="inlineStr">
        <is>
          <t>5×100A gPV 直流</t>
        </is>
      </c>
      <c r="D5" s="2" t="inlineStr">
        <is>
          <t>每支路=模块最大放电电流 100A，隔离单支路故障</t>
        </is>
      </c>
    </row>
    <row r="6">
      <c r="A6" s="2" t="inlineStr">
        <is>
          <t>蓄电池侧</t>
        </is>
      </c>
      <c r="B6" s="2" t="inlineStr">
        <is>
          <t>总保护</t>
        </is>
      </c>
      <c r="C6" s="2" t="inlineStr">
        <is>
          <t>2×160A DC MCB（2P ≥125Vdc）</t>
        </is>
      </c>
      <c r="D6" s="2" t="inlineStr">
        <is>
          <t>每台逆变器供电回路 119.5A≤160A≤Iz=191A；双机独立断开便于维护</t>
        </is>
      </c>
    </row>
    <row r="7">
      <c r="A7" s="2" t="inlineStr">
        <is>
          <t>MPPT→电池</t>
        </is>
      </c>
      <c r="B7" s="2" t="inlineStr">
        <is>
          <t>充电回路 MCB</t>
        </is>
      </c>
      <c r="C7" s="2" t="inlineStr">
        <is>
          <t>2×63A DC MCB</t>
        </is>
      </c>
      <c r="D7" s="2" t="inlineStr">
        <is>
          <t>52.9A≤63A≤Iz=81.8A/路（16mm²×0.87）</t>
        </is>
      </c>
    </row>
    <row r="8">
      <c r="A8" s="2" t="inlineStr">
        <is>
          <t>交流侧</t>
        </is>
      </c>
      <c r="B8" s="2" t="inlineStr">
        <is>
          <t>逆变器输出 MCB</t>
        </is>
      </c>
      <c r="C8" s="2" t="inlineStr">
        <is>
          <t>2×32A C曲线</t>
        </is>
      </c>
      <c r="D8" s="2" t="inlineStr">
        <is>
          <t>20.9A≤32A≤44.4A/台</t>
        </is>
      </c>
    </row>
    <row r="9">
      <c r="A9" s="2" t="inlineStr">
        <is>
          <t>交流侧</t>
        </is>
      </c>
      <c r="B9" s="2" t="inlineStr">
        <is>
          <t>剩余电流保护</t>
        </is>
      </c>
      <c r="C9" s="2" t="inlineStr">
        <is>
          <t>30mA RCD（插座回路）</t>
        </is>
      </c>
      <c r="D9" s="2" t="inlineStr">
        <is>
          <t>人身触电保护</t>
        </is>
      </c>
    </row>
    <row r="10">
      <c r="A10" s="2" t="inlineStr">
        <is>
          <t>交流侧</t>
        </is>
      </c>
      <c r="B10" s="2" t="inlineStr">
        <is>
          <t>交流 SPD</t>
        </is>
      </c>
      <c r="C10" s="2" t="inlineStr">
        <is>
          <t>Type II 220V（Uc=275V, Imax 40kA）</t>
        </is>
      </c>
      <c r="D10" s="2" t="inlineStr">
        <is>
          <t>GB 50057/GB/T 32512</t>
        </is>
      </c>
    </row>
    <row r="11">
      <c r="A11" s="2" t="inlineStr">
        <is>
          <t>接地</t>
        </is>
      </c>
      <c r="B11" s="2" t="inlineStr">
        <is>
          <t>PE/等电位</t>
        </is>
      </c>
      <c r="C11" s="2" t="inlineStr">
        <is>
          <t>PE 铜 ≥6mm²，接地电阻≤4Ω</t>
        </is>
      </c>
      <c r="D11" s="2" t="inlineStr">
        <is>
          <t>组件边框/支架/设备外壳接保护接地，等电位联结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2026-09-03T12:38:14Z</dcterms:created>
  <dcterms:modified xsi:type="dcterms:W3CDTF">2026-09-03T12:38:14Z</dcterms:modified>
</cp:coreProperties>
</file>