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  <sheet xmlns:r="http://schemas.openxmlformats.org/officeDocument/2006/relationships" name="成本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设备/材料</t>
        </is>
      </c>
      <c r="C1" s="1" t="inlineStr">
        <is>
          <t>规格型号</t>
        </is>
      </c>
      <c r="D1" s="1" t="inlineStr">
        <is>
          <t>数量</t>
        </is>
      </c>
      <c r="E1" s="1" t="inlineStr">
        <is>
          <t>单价(¥)</t>
        </is>
      </c>
      <c r="F1" s="1" t="inlineStr">
        <is>
          <t>小计(¥)</t>
        </is>
      </c>
      <c r="G1" s="1" t="inlineStr">
        <is>
          <t>价格参考</t>
        </is>
      </c>
    </row>
    <row r="2">
      <c r="A2" s="2" t="inlineStr">
        <is>
          <t>光伏阵列</t>
        </is>
      </c>
      <c r="B2" s="2" t="inlineStr">
        <is>
          <t>光伏组件</t>
        </is>
      </c>
      <c r="C2" s="2" t="inlineStr">
        <is>
          <t>隆基 Hi-MO 7 LR7-72HGD-600M（600 W）</t>
        </is>
      </c>
      <c r="D2" s="2" t="n">
        <v>10</v>
      </c>
      <c r="E2" s="2" t="n">
        <v>650</v>
      </c>
      <c r="F2" s="2">
        <f>D2*E2</f>
        <v/>
      </c>
      <c r="G2" s="2" t="inlineStr">
        <is>
          <t>2026 组件低价期零售</t>
        </is>
      </c>
    </row>
    <row r="3">
      <c r="A3" s="2" t="inlineStr">
        <is>
          <t>光伏阵列</t>
        </is>
      </c>
      <c r="B3" s="2" t="inlineStr">
        <is>
          <t>MC4 连接器</t>
        </is>
      </c>
      <c r="C3" s="2" t="inlineStr">
        <is>
          <t>光伏专用</t>
        </is>
      </c>
      <c r="D3" s="2" t="n">
        <v>20</v>
      </c>
      <c r="E3" s="2" t="n">
        <v>16</v>
      </c>
      <c r="F3" s="2">
        <f>D3*E3</f>
        <v/>
      </c>
      <c r="G3" s="2" t="inlineStr">
        <is>
          <t>电商</t>
        </is>
      </c>
    </row>
    <row r="4">
      <c r="A4" s="2" t="inlineStr">
        <is>
          <t>支架</t>
        </is>
      </c>
      <c r="B4" s="2" t="inlineStr">
        <is>
          <t>屋面铝合金支架</t>
        </is>
      </c>
      <c r="C4" s="2" t="inlineStr">
        <is>
          <t>6063-T5（10 块竖排 40°，含雪荷加强）</t>
        </is>
      </c>
      <c r="D4" s="2" t="n">
        <v>1</v>
      </c>
      <c r="E4" s="2" t="n">
        <v>3000</v>
      </c>
      <c r="F4" s="2">
        <f>D4*E4</f>
        <v/>
      </c>
      <c r="G4" s="2" t="inlineStr">
        <is>
          <t>按铝价估</t>
        </is>
      </c>
    </row>
    <row r="5">
      <c r="A5" s="2" t="inlineStr">
        <is>
          <t>控制和变换</t>
        </is>
      </c>
      <c r="B5" s="2" t="inlineStr">
        <is>
          <t>离网逆变器（含 MPPT）</t>
        </is>
      </c>
      <c r="C5" s="2" t="inlineStr">
        <is>
          <t>Growatt SPF 5000 ES</t>
        </is>
      </c>
      <c r="D5" s="2" t="n">
        <v>2</v>
      </c>
      <c r="E5" s="2" t="n">
        <v>2200</v>
      </c>
      <c r="F5" s="2">
        <f>D5*E5</f>
        <v/>
      </c>
      <c r="G5" s="2" t="inlineStr">
        <is>
          <t>淘宝</t>
        </is>
      </c>
    </row>
    <row r="6">
      <c r="A6" s="2" t="inlineStr">
        <is>
          <t>控制和变换</t>
        </is>
      </c>
      <c r="B6" s="2" t="inlineStr">
        <is>
          <t>并联套件</t>
        </is>
      </c>
      <c r="C6" s="2" t="inlineStr">
        <is>
          <t>Growatt 并联通信</t>
        </is>
      </c>
      <c r="D6" s="2" t="n">
        <v>1</v>
      </c>
      <c r="E6" s="2" t="n">
        <v>200</v>
      </c>
      <c r="F6" s="2">
        <f>D6*E6</f>
        <v/>
      </c>
      <c r="G6" s="2" t="inlineStr">
        <is>
          <t>电商</t>
        </is>
      </c>
    </row>
    <row r="7">
      <c r="A7" s="2" t="inlineStr">
        <is>
          <t>蓄电池</t>
        </is>
      </c>
      <c r="B7" s="2" t="inlineStr">
        <is>
          <t>磷酸铁锂模块</t>
        </is>
      </c>
      <c r="C7" s="2" t="inlineStr">
        <is>
          <t>Benhoo BNP-5120BM（5.12 kWh，内置 BMS）</t>
        </is>
      </c>
      <c r="D7" s="2" t="n">
        <v>5</v>
      </c>
      <c r="E7" s="2" t="n">
        <v>4000</v>
      </c>
      <c r="F7" s="2">
        <f>D7*E7</f>
        <v/>
      </c>
      <c r="G7" s="2" t="inlineStr">
        <is>
          <t>B2B 区间</t>
        </is>
      </c>
    </row>
    <row r="8">
      <c r="A8" s="2" t="inlineStr">
        <is>
          <t>蓄电池</t>
        </is>
      </c>
      <c r="B8" s="2" t="inlineStr">
        <is>
          <t>电池柜</t>
        </is>
      </c>
      <c r="C8" s="2" t="inlineStr">
        <is>
          <t>19" 机柜 600×600×1200 mm</t>
        </is>
      </c>
      <c r="D8" s="2" t="n">
        <v>1</v>
      </c>
      <c r="E8" s="2" t="n">
        <v>1000</v>
      </c>
      <c r="F8" s="2">
        <f>D8*E8</f>
        <v/>
      </c>
      <c r="G8" s="2" t="inlineStr">
        <is>
          <t>电商</t>
        </is>
      </c>
    </row>
    <row r="9">
      <c r="A9" s="2" t="inlineStr">
        <is>
          <t>蓄电池</t>
        </is>
      </c>
      <c r="B9" s="2" t="inlineStr">
        <is>
          <t>母排/连接件</t>
        </is>
      </c>
      <c r="C9" s="2" t="inlineStr">
        <is>
          <t>等长等截面铜排（低温材料）</t>
        </is>
      </c>
      <c r="D9" s="2" t="n">
        <v>1</v>
      </c>
      <c r="E9" s="2" t="n">
        <v>450</v>
      </c>
      <c r="F9" s="2">
        <f>D9*E9</f>
        <v/>
      </c>
      <c r="G9" s="2" t="inlineStr">
        <is>
          <t>估</t>
        </is>
      </c>
    </row>
    <row r="10">
      <c r="A10" s="2" t="inlineStr">
        <is>
          <t>直流保护</t>
        </is>
      </c>
      <c r="B10" s="2" t="inlineStr">
        <is>
          <t>组串熔断器</t>
        </is>
      </c>
      <c r="C10" s="2" t="inlineStr">
        <is>
          <t>25 A gPV</t>
        </is>
      </c>
      <c r="D10" s="2" t="n">
        <v>2</v>
      </c>
      <c r="E10" s="2" t="n">
        <v>40</v>
      </c>
      <c r="F10" s="2">
        <f>D10*E10</f>
        <v/>
      </c>
      <c r="G10" s="2" t="inlineStr">
        <is>
          <t>电商</t>
        </is>
      </c>
    </row>
    <row r="11">
      <c r="A11" s="2" t="inlineStr">
        <is>
          <t>直流保护</t>
        </is>
      </c>
      <c r="B11" s="2" t="inlineStr">
        <is>
          <t>直流隔离开关</t>
        </is>
      </c>
      <c r="C11" s="2" t="inlineStr">
        <is>
          <t>2P 600 Vdc</t>
        </is>
      </c>
      <c r="D11" s="2" t="n">
        <v>2</v>
      </c>
      <c r="E11" s="2" t="n">
        <v>180</v>
      </c>
      <c r="F11" s="2">
        <f>D11*E11</f>
        <v/>
      </c>
      <c r="G11" s="2" t="inlineStr">
        <is>
          <t>电商</t>
        </is>
      </c>
    </row>
    <row r="12">
      <c r="A12" s="2" t="inlineStr">
        <is>
          <t>直流保护</t>
        </is>
      </c>
      <c r="B12" s="2" t="inlineStr">
        <is>
          <t>直流 SPD</t>
        </is>
      </c>
      <c r="C12" s="2" t="inlineStr">
        <is>
          <t>Type II 1000 Vdc（U_cpv≥360 V）</t>
        </is>
      </c>
      <c r="D12" s="2" t="n">
        <v>2</v>
      </c>
      <c r="E12" s="2" t="n">
        <v>220</v>
      </c>
      <c r="F12" s="2">
        <f>D12*E12</f>
        <v/>
      </c>
      <c r="G12" s="2" t="inlineStr">
        <is>
          <t>电商</t>
        </is>
      </c>
    </row>
    <row r="13">
      <c r="A13" s="2" t="inlineStr">
        <is>
          <t>直流保护</t>
        </is>
      </c>
      <c r="B13" s="2" t="inlineStr">
        <is>
          <t>电池支路熔断器</t>
        </is>
      </c>
      <c r="C13" s="2" t="inlineStr">
        <is>
          <t>100 A gPV</t>
        </is>
      </c>
      <c r="D13" s="2" t="n">
        <v>5</v>
      </c>
      <c r="E13" s="2" t="n">
        <v>35</v>
      </c>
      <c r="F13" s="2">
        <f>D13*E13</f>
        <v/>
      </c>
      <c r="G13" s="2" t="inlineStr">
        <is>
          <t>电商</t>
        </is>
      </c>
    </row>
    <row r="14">
      <c r="A14" s="2" t="inlineStr">
        <is>
          <t>直流保护</t>
        </is>
      </c>
      <c r="B14" s="2" t="inlineStr">
        <is>
          <t>电池总保护</t>
        </is>
      </c>
      <c r="C14" s="2" t="inlineStr">
        <is>
          <t>160 A DC MCB（2P）</t>
        </is>
      </c>
      <c r="D14" s="2" t="n">
        <v>2</v>
      </c>
      <c r="E14" s="2" t="n">
        <v>450</v>
      </c>
      <c r="F14" s="2">
        <f>D14*E14</f>
        <v/>
      </c>
      <c r="G14" s="2" t="inlineStr">
        <is>
          <t>电商</t>
        </is>
      </c>
    </row>
    <row r="15">
      <c r="A15" s="2" t="inlineStr">
        <is>
          <t>直流保护</t>
        </is>
      </c>
      <c r="B15" s="2" t="inlineStr">
        <is>
          <t>MPPT→电池保护</t>
        </is>
      </c>
      <c r="C15" s="2" t="inlineStr">
        <is>
          <t>63 A MCB</t>
        </is>
      </c>
      <c r="D15" s="2" t="n">
        <v>2</v>
      </c>
      <c r="E15" s="2" t="n">
        <v>160</v>
      </c>
      <c r="F15" s="2">
        <f>D15*E15</f>
        <v/>
      </c>
      <c r="G15" s="2" t="inlineStr">
        <is>
          <t>电商</t>
        </is>
      </c>
    </row>
    <row r="16">
      <c r="A16" s="2" t="inlineStr">
        <is>
          <t>交流配电</t>
        </is>
      </c>
      <c r="B16" s="2" t="inlineStr">
        <is>
          <t>交流配电箱 DB</t>
        </is>
      </c>
      <c r="C16" s="2" t="inlineStr">
        <is>
          <t>双机输入</t>
        </is>
      </c>
      <c r="D16" s="2" t="n">
        <v>1</v>
      </c>
      <c r="E16" s="2" t="n">
        <v>380</v>
      </c>
      <c r="F16" s="2">
        <f>D16*E16</f>
        <v/>
      </c>
      <c r="G16" s="2" t="inlineStr">
        <is>
          <t>电商</t>
        </is>
      </c>
    </row>
    <row r="17">
      <c r="A17" s="2" t="inlineStr">
        <is>
          <t>交流配电</t>
        </is>
      </c>
      <c r="B17" s="2" t="inlineStr">
        <is>
          <t>输出 MCB</t>
        </is>
      </c>
      <c r="C17" s="2" t="inlineStr">
        <is>
          <t>32 A C 曲线</t>
        </is>
      </c>
      <c r="D17" s="2" t="n">
        <v>2</v>
      </c>
      <c r="E17" s="2" t="n">
        <v>60</v>
      </c>
      <c r="F17" s="2">
        <f>D17*E17</f>
        <v/>
      </c>
      <c r="G17" s="2" t="inlineStr">
        <is>
          <t>电商</t>
        </is>
      </c>
    </row>
    <row r="18">
      <c r="A18" s="2" t="inlineStr">
        <is>
          <t>交流配电</t>
        </is>
      </c>
      <c r="B18" s="2" t="inlineStr">
        <is>
          <t>剩余电流保护</t>
        </is>
      </c>
      <c r="C18" s="2" t="inlineStr">
        <is>
          <t>RCD 30 mA</t>
        </is>
      </c>
      <c r="D18" s="2" t="n">
        <v>1</v>
      </c>
      <c r="E18" s="2" t="n">
        <v>120</v>
      </c>
      <c r="F18" s="2">
        <f>D18*E18</f>
        <v/>
      </c>
      <c r="G18" s="2" t="inlineStr">
        <is>
          <t>电商</t>
        </is>
      </c>
    </row>
    <row r="19">
      <c r="A19" s="2" t="inlineStr">
        <is>
          <t>交流配电</t>
        </is>
      </c>
      <c r="B19" s="2" t="inlineStr">
        <is>
          <t>交流 SPD</t>
        </is>
      </c>
      <c r="C19" s="2" t="inlineStr">
        <is>
          <t>Type II 220 V</t>
        </is>
      </c>
      <c r="D19" s="2" t="n">
        <v>1</v>
      </c>
      <c r="E19" s="2" t="n">
        <v>200</v>
      </c>
      <c r="F19" s="2">
        <f>D19*E19</f>
        <v/>
      </c>
      <c r="G19" s="2" t="inlineStr">
        <is>
          <t>电商</t>
        </is>
      </c>
    </row>
    <row r="20">
      <c r="A20" s="2" t="inlineStr">
        <is>
          <t>交流配电</t>
        </is>
      </c>
      <c r="B20" s="2" t="inlineStr">
        <is>
          <t>末端 MCB</t>
        </is>
      </c>
      <c r="C20" s="2" t="inlineStr">
        <is>
          <t>10/20/10/16 A</t>
        </is>
      </c>
      <c r="D20" s="2" t="n">
        <v>4</v>
      </c>
      <c r="E20" s="2" t="n">
        <v>25</v>
      </c>
      <c r="F20" s="2">
        <f>D20*E20</f>
        <v/>
      </c>
      <c r="G20" s="2" t="inlineStr">
        <is>
          <t>电商</t>
        </is>
      </c>
    </row>
    <row r="21">
      <c r="A21" s="2" t="inlineStr">
        <is>
          <t>线缆和接地</t>
        </is>
      </c>
      <c r="B21" s="2" t="inlineStr">
        <is>
          <t>PV1-F 光伏线</t>
        </is>
      </c>
      <c r="C21" s="2" t="inlineStr">
        <is>
          <t>4 mm²（~30 m）</t>
        </is>
      </c>
      <c r="D21" s="2" t="n">
        <v>30</v>
      </c>
      <c r="E21" s="2" t="n">
        <v>5</v>
      </c>
      <c r="F21" s="2">
        <f>D21*E21</f>
        <v/>
      </c>
      <c r="G21" s="2" t="inlineStr">
        <is>
          <t>电商</t>
        </is>
      </c>
    </row>
    <row r="22">
      <c r="A22" s="2" t="inlineStr">
        <is>
          <t>线缆和接地</t>
        </is>
      </c>
      <c r="B22" s="2" t="inlineStr">
        <is>
          <t>RV 软线（耐低温）</t>
        </is>
      </c>
      <c r="C22" s="2" t="inlineStr">
        <is>
          <t>16 mm²（3 m×2 路）</t>
        </is>
      </c>
      <c r="D22" s="2" t="n">
        <v>6</v>
      </c>
      <c r="E22" s="2" t="n">
        <v>22</v>
      </c>
      <c r="F22" s="2">
        <f>D22*E22</f>
        <v/>
      </c>
      <c r="G22" s="2" t="inlineStr">
        <is>
          <t>电商</t>
        </is>
      </c>
    </row>
    <row r="23">
      <c r="A23" s="2" t="inlineStr">
        <is>
          <t>线缆和接地</t>
        </is>
      </c>
      <c r="B23" s="2" t="inlineStr">
        <is>
          <t>RV 软线（耐低温）</t>
        </is>
      </c>
      <c r="C23" s="2" t="inlineStr">
        <is>
          <t>70 mm²（2 m×2 路）</t>
        </is>
      </c>
      <c r="D23" s="2" t="n">
        <v>4</v>
      </c>
      <c r="E23" s="2" t="n">
        <v>70</v>
      </c>
      <c r="F23" s="2">
        <f>D23*E23</f>
        <v/>
      </c>
      <c r="G23" s="2" t="inlineStr">
        <is>
          <t>电商</t>
        </is>
      </c>
    </row>
    <row r="24">
      <c r="A24" s="2" t="inlineStr">
        <is>
          <t>线缆和接地</t>
        </is>
      </c>
      <c r="B24" s="2" t="inlineStr">
        <is>
          <t>RVV 软线</t>
        </is>
      </c>
      <c r="C24" s="2" t="inlineStr">
        <is>
          <t>6 mm²（5 m×2 路）</t>
        </is>
      </c>
      <c r="D24" s="2" t="n">
        <v>10</v>
      </c>
      <c r="E24" s="2" t="n">
        <v>10</v>
      </c>
      <c r="F24" s="2">
        <f>D24*E24</f>
        <v/>
      </c>
      <c r="G24" s="2" t="inlineStr">
        <is>
          <t>电商</t>
        </is>
      </c>
    </row>
    <row r="25">
      <c r="A25" s="2" t="inlineStr">
        <is>
          <t>线缆和接地</t>
        </is>
      </c>
      <c r="B25" s="2" t="inlineStr">
        <is>
          <t>BV 线</t>
        </is>
      </c>
      <c r="C25" s="2" t="inlineStr">
        <is>
          <t>2.5 mm²（~40 m）</t>
        </is>
      </c>
      <c r="D25" s="2" t="n">
        <v>40</v>
      </c>
      <c r="E25" s="2" t="n">
        <v>3.5</v>
      </c>
      <c r="F25" s="2">
        <f>D25*E25</f>
        <v/>
      </c>
      <c r="G25" s="2" t="inlineStr">
        <is>
          <t>电商</t>
        </is>
      </c>
    </row>
    <row r="26">
      <c r="A26" s="2" t="inlineStr">
        <is>
          <t>线缆和接地</t>
        </is>
      </c>
      <c r="B26" s="2" t="inlineStr">
        <is>
          <t>BV 线</t>
        </is>
      </c>
      <c r="C26" s="2" t="inlineStr">
        <is>
          <t>4 mm²（~30 m）</t>
        </is>
      </c>
      <c r="D26" s="2" t="n">
        <v>30</v>
      </c>
      <c r="E26" s="2" t="n">
        <v>5.5</v>
      </c>
      <c r="F26" s="2">
        <f>D26*E26</f>
        <v/>
      </c>
      <c r="G26" s="2" t="inlineStr">
        <is>
          <t>电商</t>
        </is>
      </c>
    </row>
    <row r="27">
      <c r="A27" s="2" t="inlineStr">
        <is>
          <t>线缆和接地</t>
        </is>
      </c>
      <c r="B27" s="2" t="inlineStr">
        <is>
          <t>接地线</t>
        </is>
      </c>
      <c r="C27" s="2" t="inlineStr">
        <is>
          <t>≥6 mm²（~10 m）</t>
        </is>
      </c>
      <c r="D27" s="2" t="n">
        <v>10</v>
      </c>
      <c r="E27" s="2" t="n">
        <v>6</v>
      </c>
      <c r="F27" s="2">
        <f>D27*E27</f>
        <v/>
      </c>
      <c r="G27" s="2" t="inlineStr">
        <is>
          <t>电商</t>
        </is>
      </c>
    </row>
    <row r="28">
      <c r="A28" s="2" t="inlineStr">
        <is>
          <t>线缆和接地</t>
        </is>
      </c>
      <c r="B28" s="2" t="inlineStr">
        <is>
          <t>桥架/穿线管</t>
        </is>
      </c>
      <c r="C28" s="2" t="inlineStr">
        <is>
          <t>耐 UV + 耐低温</t>
        </is>
      </c>
      <c r="D28" s="2" t="n">
        <v>1</v>
      </c>
      <c r="E28" s="2" t="n">
        <v>500</v>
      </c>
      <c r="F28" s="2">
        <f>D28*E28</f>
        <v/>
      </c>
      <c r="G28" s="2" t="inlineStr">
        <is>
          <t>电商</t>
        </is>
      </c>
    </row>
    <row r="29">
      <c r="A29" s="2" t="inlineStr">
        <is>
          <t>设备间保温+加热</t>
        </is>
      </c>
      <c r="B29" s="2" t="inlineStr">
        <is>
          <t>保温+加热+控温</t>
        </is>
      </c>
      <c r="C29" s="2" t="inlineStr">
        <is>
          <t>设备间 ≥10 ℃（含加热器）</t>
        </is>
      </c>
      <c r="D29" s="2" t="n">
        <v>1</v>
      </c>
      <c r="E29" s="2" t="n">
        <v>1500</v>
      </c>
      <c r="F29" s="2">
        <f>D29*E29</f>
        <v/>
      </c>
      <c r="G29" s="2" t="inlineStr">
        <is>
          <t>估（硬性前提）</t>
        </is>
      </c>
    </row>
    <row r="30">
      <c r="A30" s="2" t="inlineStr">
        <is>
          <t>安装辅材</t>
        </is>
      </c>
      <c r="B30" s="2" t="inlineStr">
        <is>
          <t>端子/标识/防水防火</t>
        </is>
      </c>
      <c r="C30" s="2" t="inlineStr">
        <is>
          <t>汇总</t>
        </is>
      </c>
      <c r="D30" s="2" t="n">
        <v>1</v>
      </c>
      <c r="E30" s="2" t="n">
        <v>500</v>
      </c>
      <c r="F30" s="2">
        <f>D30*E30</f>
        <v/>
      </c>
      <c r="G30" s="2" t="inlineStr">
        <is>
          <t>估</t>
        </is>
      </c>
    </row>
    <row r="31">
      <c r="A31" s="2" t="inlineStr">
        <is>
          <t>合计</t>
        </is>
      </c>
      <c r="B31" s="2" t="inlineStr"/>
      <c r="C31" s="2" t="inlineStr"/>
      <c r="D31" s="2" t="inlineStr"/>
      <c r="E31" s="2" t="inlineStr"/>
      <c r="F31" s="3">
        <f>SUM(F2:F31)</f>
        <v/>
      </c>
      <c r="G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指标</t>
        </is>
      </c>
      <c r="B1" s="4" t="inlineStr">
        <is>
          <t>数值</t>
        </is>
      </c>
    </row>
    <row r="2">
      <c r="A2" t="inlineStr">
        <is>
          <t>系统初始总投资(¥)</t>
        </is>
      </c>
      <c r="B2">
        <f>设备清单!F31</f>
        <v/>
      </c>
    </row>
    <row r="3">
      <c r="A3" t="inlineStr">
        <is>
          <t>装机容量(kWp)</t>
        </is>
      </c>
      <c r="B3" t="n">
        <v>6</v>
      </c>
    </row>
    <row r="4">
      <c r="A4" t="inlineStr">
        <is>
          <t>单位装机成本(¥/Wp)</t>
        </is>
      </c>
      <c r="B4">
        <f>ROUND(设备清单!F31/6000,2)</f>
        <v/>
      </c>
    </row>
    <row r="5">
      <c r="A5" t="inlineStr">
        <is>
          <t>电池成本(¥)</t>
        </is>
      </c>
      <c r="B5">
        <f>设备清单!F7</f>
        <v/>
      </c>
    </row>
    <row r="6">
      <c r="A6" t="inlineStr">
        <is>
          <t>单位储能成本(¥/kWh)</t>
        </is>
      </c>
      <c r="B6">
        <f>ROUND(设备清单!F7/25.6,0)</f>
        <v/>
      </c>
    </row>
    <row r="7">
      <c r="A7" t="inlineStr">
        <is>
          <t>电池占比</t>
        </is>
      </c>
      <c r="B7">
        <f>ROUND(设备清单!F7/设备清单!F31,2)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2026-09-07T01:32:22Z</dcterms:created>
  <dcterms:modified xmlns:dcterms="http://purl.org/dc/terms/" xmlns:xsi="http://www.w3.org/2001/XMLSchema-instance" xsi:type="dcterms:W3CDTF">2026-09-07T01:32:22Z</dcterms:modified>
</cp:coreProperties>
</file>