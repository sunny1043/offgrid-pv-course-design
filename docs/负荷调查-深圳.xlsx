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负荷清单" sheetId="1" state="visible" r:id="rId1"/>
    <sheet xmlns:r="http://schemas.openxmlformats.org/officeDocument/2006/relationships" name="24h运行表" sheetId="2" state="visible" r:id="rId2"/>
    <sheet xmlns:r="http://schemas.openxmlformats.org/officeDocument/2006/relationships" name="结果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808080"/>
      <sz val="9"/>
    </font>
    <font>
      <name val="微软雅黑"/>
      <b val="1"/>
    </font>
    <font>
      <name val="微软雅黑"/>
      <color rgb="000000FF"/>
    </font>
    <font>
      <name val="微软雅黑"/>
      <color rgb="0000000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2" fontId="5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2" fontId="3" fillId="4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3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6" customWidth="1" min="3" max="3"/>
    <col width="12" customWidth="1" min="4" max="4"/>
    <col width="11" customWidth="1" min="5" max="5"/>
    <col width="9" customWidth="1" min="6" max="6"/>
    <col width="13" customWidth="1" min="7" max="7"/>
    <col width="48" customWidth="1" min="8" max="8"/>
  </cols>
  <sheetData>
    <row r="1">
      <c r="A1" s="1" t="inlineStr">
        <is>
          <t>户用离网光伏发电系统 — 负荷调查（深圳 · 全队共享示例）</t>
        </is>
      </c>
    </row>
    <row r="2">
      <c r="A2" s="2" t="inlineStr">
        <is>
          <t>设备清单按课程设计任务书 §3.1 工作表；日耗电 = 数量×额定功率×日运行时间×运行系数（冰箱按能效标识值）；参数来源见备注列；查询日期 2026-09-01</t>
        </is>
      </c>
    </row>
    <row r="3">
      <c r="A3" s="3" t="inlineStr">
        <is>
          <t>类别</t>
        </is>
      </c>
      <c r="B3" s="3" t="inlineStr">
        <is>
          <t>设备（具体型号）</t>
        </is>
      </c>
      <c r="C3" s="3" t="inlineStr">
        <is>
          <t>数量</t>
        </is>
      </c>
      <c r="D3" s="3" t="inlineStr">
        <is>
          <t>额定功率(kW)</t>
        </is>
      </c>
      <c r="E3" s="3" t="inlineStr">
        <is>
          <t>日运行(h/d)</t>
        </is>
      </c>
      <c r="F3" s="3" t="inlineStr">
        <is>
          <t>运行系数</t>
        </is>
      </c>
      <c r="G3" s="3" t="inlineStr">
        <is>
          <t>日耗电(kWh/d)</t>
        </is>
      </c>
      <c r="H3" s="3" t="inlineStr">
        <is>
          <t>备注/来源</t>
        </is>
      </c>
    </row>
    <row r="4">
      <c r="A4" s="4" t="inlineStr">
        <is>
          <t>制冷空调</t>
        </is>
      </c>
      <c r="B4" s="5" t="inlineStr">
        <is>
          <t>海尔 BCD-235WFCI 冰箱（235L 三门风冷变频，一级能效）</t>
        </is>
      </c>
      <c r="C4" s="4" t="n">
        <v>1</v>
      </c>
      <c r="D4" s="4" t="n"/>
      <c r="E4" s="4" t="n"/>
      <c r="F4" s="4" t="n"/>
      <c r="G4" s="6" t="n">
        <v>0.54</v>
      </c>
      <c r="H4" s="7" t="inlineStr">
        <is>
          <t>综合耗电量 0.54 kWh/24h（海尔官网）</t>
        </is>
      </c>
    </row>
    <row r="5">
      <c r="A5" s="8" t="inlineStr">
        <is>
          <t>制冷空调</t>
        </is>
      </c>
      <c r="B5" s="9" t="inlineStr">
        <is>
          <t>美的 KFR-35GW/N8KS1-1 酷省电二代空调（1.5P 新一级能效）</t>
        </is>
      </c>
      <c r="C5" s="8" t="n">
        <v>1</v>
      </c>
      <c r="D5" s="4" t="n">
        <v>0.845</v>
      </c>
      <c r="E5" s="4" t="n">
        <v>8</v>
      </c>
      <c r="F5" s="4" t="n">
        <v>0.5</v>
      </c>
      <c r="G5" s="10">
        <f>C5*D5*E5*F5</f>
        <v/>
      </c>
      <c r="H5" s="7" t="inlineStr">
        <is>
          <t>额定制冷输入功率 845W（70-1900W，ZOL）；运行系数0.5（变频运行均值）；深圳夏季 8h/d</t>
        </is>
      </c>
    </row>
    <row r="6">
      <c r="A6" s="4" t="inlineStr">
        <is>
          <t>照明</t>
        </is>
      </c>
      <c r="B6" s="5" t="inlineStr">
        <is>
          <t>飞利浦 LED 球泡 12W（E27）</t>
        </is>
      </c>
      <c r="C6" s="4" t="n">
        <v>8</v>
      </c>
      <c r="D6" s="4" t="n">
        <v>0.012</v>
      </c>
      <c r="E6" s="4" t="n">
        <v>4</v>
      </c>
      <c r="F6" s="4" t="n">
        <v>1</v>
      </c>
      <c r="G6" s="10">
        <f>C6*D6*E6*F6</f>
        <v/>
      </c>
      <c r="H6" s="7" t="inlineStr">
        <is>
          <t>12W / ~1300lm（飞利浦官网）</t>
        </is>
      </c>
    </row>
    <row r="7">
      <c r="A7" s="8" t="inlineStr">
        <is>
          <t>通信信息</t>
        </is>
      </c>
      <c r="B7" s="9" t="inlineStr">
        <is>
          <t>小米路由器 AX3000</t>
        </is>
      </c>
      <c r="C7" s="8" t="n">
        <v>1</v>
      </c>
      <c r="D7" s="4" t="n">
        <v>0.006</v>
      </c>
      <c r="E7" s="4" t="n">
        <v>24</v>
      </c>
      <c r="F7" s="4" t="n">
        <v>1</v>
      </c>
      <c r="G7" s="10">
        <f>C7*D7*E7*F7</f>
        <v/>
      </c>
      <c r="H7" s="7" t="inlineStr">
        <is>
          <t>待机约5W、满速约6W（实测）</t>
        </is>
      </c>
    </row>
    <row r="8">
      <c r="A8" s="4" t="inlineStr">
        <is>
          <t>通信信息</t>
        </is>
      </c>
      <c r="B8" s="5" t="inlineStr">
        <is>
          <t>Redmi 智能电视 A55 节能版</t>
        </is>
      </c>
      <c r="C8" s="4" t="n">
        <v>1</v>
      </c>
      <c r="D8" s="4" t="n">
        <v>0.11</v>
      </c>
      <c r="E8" s="4" t="n">
        <v>4</v>
      </c>
      <c r="F8" s="4" t="n">
        <v>1</v>
      </c>
      <c r="G8" s="10">
        <f>C8*D8*E8*F8</f>
        <v/>
      </c>
      <c r="H8" s="7" t="inlineStr">
        <is>
          <t>55寸 LED 整机功耗约110W（典型80~150W）</t>
        </is>
      </c>
    </row>
    <row r="9">
      <c r="A9" s="8" t="inlineStr">
        <is>
          <t>通信信息</t>
        </is>
      </c>
      <c r="B9" s="9" t="inlineStr">
        <is>
          <t>笔记本（联想小新 Pro 14，假定可替换）</t>
        </is>
      </c>
      <c r="C9" s="8" t="n">
        <v>1</v>
      </c>
      <c r="D9" s="4" t="n">
        <v>0.065</v>
      </c>
      <c r="E9" s="4" t="n">
        <v>5</v>
      </c>
      <c r="F9" s="4" t="n">
        <v>1</v>
      </c>
      <c r="G9" s="10">
        <f>C9*D9*E9*F9</f>
        <v/>
      </c>
      <c r="H9" s="7" t="inlineStr">
        <is>
          <t>65W PD 适配器</t>
        </is>
      </c>
    </row>
    <row r="10">
      <c r="A10" s="4" t="inlineStr">
        <is>
          <t>通信信息</t>
        </is>
      </c>
      <c r="B10" s="5" t="inlineStr">
        <is>
          <t>手机快充充电器 ×2（小米67W，假定可替换）</t>
        </is>
      </c>
      <c r="C10" s="4" t="n">
        <v>2</v>
      </c>
      <c r="D10" s="4" t="n">
        <v>0.01</v>
      </c>
      <c r="E10" s="4" t="n">
        <v>3</v>
      </c>
      <c r="F10" s="4" t="n">
        <v>1</v>
      </c>
      <c r="G10" s="10">
        <f>C10*D10*E10*F10</f>
        <v/>
      </c>
      <c r="H10" s="7" t="inlineStr">
        <is>
          <t>平均充电功率约10W</t>
        </is>
      </c>
    </row>
    <row r="11">
      <c r="A11" s="8" t="inlineStr">
        <is>
          <t>基本炊事</t>
        </is>
      </c>
      <c r="B11" s="9" t="inlineStr">
        <is>
          <t>美的 FB40Simple111 电饭煲（4L）</t>
        </is>
      </c>
      <c r="C11" s="8" t="n">
        <v>1</v>
      </c>
      <c r="D11" s="4" t="n">
        <v>0.86</v>
      </c>
      <c r="E11" s="4" t="n">
        <v>0.6</v>
      </c>
      <c r="F11" s="4" t="n">
        <v>1</v>
      </c>
      <c r="G11" s="10">
        <f>C11*D11*E11*F11</f>
        <v/>
      </c>
      <c r="H11" s="7" t="inlineStr">
        <is>
          <t>4L 额定约860W</t>
        </is>
      </c>
    </row>
    <row r="12">
      <c r="A12" s="4" t="inlineStr">
        <is>
          <t>基本炊事</t>
        </is>
      </c>
      <c r="B12" s="5" t="inlineStr">
        <is>
          <t>美的 WHJ1705b 电热水壶（1.7L）</t>
        </is>
      </c>
      <c r="C12" s="4" t="n">
        <v>1</v>
      </c>
      <c r="D12" s="4" t="n">
        <v>1.8</v>
      </c>
      <c r="E12" s="4" t="n">
        <v>0.15</v>
      </c>
      <c r="F12" s="4" t="n">
        <v>1</v>
      </c>
      <c r="G12" s="10">
        <f>C12*D12*E12*F12</f>
        <v/>
      </c>
      <c r="H12" s="7" t="inlineStr">
        <is>
          <t>额定1800W</t>
        </is>
      </c>
    </row>
    <row r="13">
      <c r="A13" s="8" t="inlineStr">
        <is>
          <t>基本炊事</t>
        </is>
      </c>
      <c r="B13" s="9" t="inlineStr">
        <is>
          <t>方太 CXW-258-JCD7 侧吸油烟机</t>
        </is>
      </c>
      <c r="C13" s="8" t="n">
        <v>1</v>
      </c>
      <c r="D13" s="4" t="n">
        <v>0.258</v>
      </c>
      <c r="E13" s="4" t="n">
        <v>0.5</v>
      </c>
      <c r="F13" s="4" t="n">
        <v>1</v>
      </c>
      <c r="G13" s="10">
        <f>C13*D13*E13*F13</f>
        <v/>
      </c>
      <c r="H13" s="7" t="inlineStr">
        <is>
          <t>额定输入功率258W（官方）</t>
        </is>
      </c>
    </row>
    <row r="14">
      <c r="A14" s="4" t="inlineStr">
        <is>
          <t>基本炊事</t>
        </is>
      </c>
      <c r="B14" s="5" t="inlineStr">
        <is>
          <t>格兰仕 P70D20TL-D4 微波炉（20L）</t>
        </is>
      </c>
      <c r="C14" s="4" t="n">
        <v>1</v>
      </c>
      <c r="D14" s="4" t="n">
        <v>1.15</v>
      </c>
      <c r="E14" s="4" t="n">
        <v>0.1</v>
      </c>
      <c r="F14" s="4" t="n">
        <v>1</v>
      </c>
      <c r="G14" s="10">
        <f>C14*D14*E14*F14</f>
        <v/>
      </c>
      <c r="H14" s="7" t="inlineStr">
        <is>
          <t>输出700W、输入约1150W</t>
        </is>
      </c>
    </row>
    <row r="15">
      <c r="A15" s="8" t="inlineStr">
        <is>
          <t>基本炊事</t>
        </is>
      </c>
      <c r="B15" s="9" t="inlineStr">
        <is>
          <t>美的 C21-RT2170 电磁炉（周末使用）</t>
        </is>
      </c>
      <c r="C15" s="8" t="n">
        <v>1</v>
      </c>
      <c r="D15" s="4" t="n">
        <v>2.1</v>
      </c>
      <c r="E15" s="4" t="n">
        <v>0.057</v>
      </c>
      <c r="F15" s="4" t="n">
        <v>1</v>
      </c>
      <c r="G15" s="10">
        <f>C15*D15*E15*F15</f>
        <v/>
      </c>
      <c r="H15" s="7" t="inlineStr">
        <is>
          <t>额定功率2100W（官方）；每周2次×0.2h，日均0.4/7h</t>
        </is>
      </c>
    </row>
    <row r="16">
      <c r="A16" s="4" t="inlineStr">
        <is>
          <t>生活辅助</t>
        </is>
      </c>
      <c r="B16" s="5" t="inlineStr">
        <is>
          <t>海尔 EG100MATE2S 滚筒洗衣机（10kg 变频）</t>
        </is>
      </c>
      <c r="C16" s="4" t="n">
        <v>1</v>
      </c>
      <c r="D16" s="4" t="n">
        <v>0.5</v>
      </c>
      <c r="E16" s="4" t="n">
        <v>0.75</v>
      </c>
      <c r="F16" s="4" t="n">
        <v>1</v>
      </c>
      <c r="G16" s="10">
        <f>C16*D16*E16*F16</f>
        <v/>
      </c>
      <c r="H16" s="7" t="inlineStr">
        <is>
          <t>整程序平均约0.5kW；隔天使用，日均0.75h</t>
        </is>
      </c>
    </row>
    <row r="17">
      <c r="A17" s="8" t="inlineStr">
        <is>
          <t>生活辅助</t>
        </is>
      </c>
      <c r="B17" s="9" t="inlineStr">
        <is>
          <t>待机负荷（空调/电视/微波炉/电磁炉/洗衣机合计）</t>
        </is>
      </c>
      <c r="C17" s="8" t="n">
        <v>1</v>
      </c>
      <c r="D17" s="4" t="n">
        <v>0.008</v>
      </c>
      <c r="E17" s="4" t="n">
        <v>24</v>
      </c>
      <c r="F17" s="4" t="n">
        <v>1</v>
      </c>
      <c r="G17" s="10">
        <f>C17*D17*E17*F17</f>
        <v/>
      </c>
      <c r="H17" s="7" t="inlineStr">
        <is>
          <t>约8W</t>
        </is>
      </c>
    </row>
    <row r="18">
      <c r="A18" s="11" t="n"/>
      <c r="B18" s="12" t="inlineStr">
        <is>
          <t>合计（交流侧日用电量 E_AC）</t>
        </is>
      </c>
      <c r="C18" s="11" t="n"/>
      <c r="D18" s="11" t="n"/>
      <c r="E18" s="11" t="n"/>
      <c r="F18" s="11" t="n"/>
      <c r="G18" s="13">
        <f>SUM(G4:G17)</f>
        <v/>
      </c>
      <c r="H18" s="14" t="inlineStr">
        <is>
          <t>6.5~8.5 kWh/d 范围内</t>
        </is>
      </c>
    </row>
    <row r="20">
      <c r="A20" s="15" t="inlineStr">
        <is>
          <t>分类小计（对照指导书 §2.1 表1 建议范围）</t>
        </is>
      </c>
    </row>
    <row r="21">
      <c r="A21" s="4" t="inlineStr">
        <is>
          <t>制冷空调</t>
        </is>
      </c>
      <c r="B21" s="10">
        <f>SUMIF($A$4:$A$17,A21,$G$4:$G$17)</f>
        <v/>
      </c>
      <c r="C21" s="16" t="inlineStr">
        <is>
          <t>建议 3.3~5.0</t>
        </is>
      </c>
      <c r="D21" s="17" t="n"/>
    </row>
    <row r="22">
      <c r="A22" s="4" t="inlineStr">
        <is>
          <t>照明</t>
        </is>
      </c>
      <c r="B22" s="10">
        <f>SUMIF($A$4:$A$17,A22,$G$4:$G$17)</f>
        <v/>
      </c>
      <c r="C22" s="16" t="inlineStr">
        <is>
          <t>建议 0.3~0.6</t>
        </is>
      </c>
      <c r="D22" s="17" t="n"/>
    </row>
    <row r="23">
      <c r="A23" s="4" t="inlineStr">
        <is>
          <t>通信信息</t>
        </is>
      </c>
      <c r="B23" s="10">
        <f>SUMIF($A$4:$A$17,A23,$G$4:$G$17)</f>
        <v/>
      </c>
      <c r="C23" s="16" t="inlineStr">
        <is>
          <t>建议 0.8~1.4</t>
        </is>
      </c>
      <c r="D23" s="17" t="n"/>
    </row>
    <row r="24">
      <c r="A24" s="4" t="inlineStr">
        <is>
          <t>基本炊事</t>
        </is>
      </c>
      <c r="B24" s="10">
        <f>SUMIF($A$4:$A$17,A24,$G$4:$G$17)</f>
        <v/>
      </c>
      <c r="C24" s="16" t="inlineStr">
        <is>
          <t>建议 0.7~1.2</t>
        </is>
      </c>
      <c r="D24" s="17" t="n"/>
    </row>
    <row r="25">
      <c r="A25" s="4" t="inlineStr">
        <is>
          <t>生活辅助</t>
        </is>
      </c>
      <c r="B25" s="10">
        <f>SUMIF($A$4:$A$17,A25,$G$4:$G$17)</f>
        <v/>
      </c>
      <c r="C25" s="16" t="inlineStr">
        <is>
          <t>建议 0.5~1.0</t>
        </is>
      </c>
      <c r="D25" s="17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4" customWidth="1" min="3" max="3"/>
  </cols>
  <sheetData>
    <row r="1">
      <c r="A1" s="1" t="inlineStr">
        <is>
          <t>24 h 负荷运行表（1h 时段，代表日）</t>
        </is>
      </c>
    </row>
    <row r="2">
      <c r="A2" s="2" t="inlineStr">
        <is>
          <t>工作日代表日；空调 12:00–14:00、18:00–24:00（8h/d，按运行均值 0.42kW 计入）；末行为周末炊事高峰校核</t>
        </is>
      </c>
    </row>
    <row r="3">
      <c r="A3" s="3" t="inlineStr">
        <is>
          <t>时段</t>
        </is>
      </c>
      <c r="B3" s="3" t="inlineStr">
        <is>
          <t>运行设备</t>
        </is>
      </c>
      <c r="C3" s="3" t="inlineStr">
        <is>
          <t>同时功率(kW)</t>
        </is>
      </c>
    </row>
    <row r="4">
      <c r="A4" s="4" t="inlineStr">
        <is>
          <t>00:00–06:00</t>
        </is>
      </c>
      <c r="B4" s="5" t="inlineStr">
        <is>
          <t>基础（冰箱+路由+待机+手机充电）</t>
        </is>
      </c>
      <c r="C4" s="6" t="n">
        <v>0.06</v>
      </c>
    </row>
    <row r="5">
      <c r="A5" s="4" t="inlineStr">
        <is>
          <t>06:00–07:00</t>
        </is>
      </c>
      <c r="B5" s="5" t="inlineStr">
        <is>
          <t>基础</t>
        </is>
      </c>
      <c r="C5" s="6" t="n">
        <v>0.04</v>
      </c>
    </row>
    <row r="6">
      <c r="A6" s="4" t="inlineStr">
        <is>
          <t>07:00–08:00</t>
        </is>
      </c>
      <c r="B6" s="5" t="inlineStr">
        <is>
          <t>基础 + 电饭煲(早餐) + 水壶(短时)</t>
        </is>
      </c>
      <c r="C6" s="6" t="n">
        <v>0.92</v>
      </c>
    </row>
    <row r="7">
      <c r="A7" s="4" t="inlineStr">
        <is>
          <t>08:00–12:00</t>
        </is>
      </c>
      <c r="B7" s="5" t="inlineStr">
        <is>
          <t>基础</t>
        </is>
      </c>
      <c r="C7" s="6" t="n">
        <v>0.04</v>
      </c>
    </row>
    <row r="8">
      <c r="A8" s="4" t="inlineStr">
        <is>
          <t>12:00–13:00</t>
        </is>
      </c>
      <c r="B8" s="5" t="inlineStr">
        <is>
          <t>基础 + 空调 + 微波炉(短时)</t>
        </is>
      </c>
      <c r="C8" s="6" t="n">
        <v>0.58</v>
      </c>
    </row>
    <row r="9">
      <c r="A9" s="4" t="inlineStr">
        <is>
          <t>13:00–14:00</t>
        </is>
      </c>
      <c r="B9" s="5" t="inlineStr">
        <is>
          <t>基础 + 空调</t>
        </is>
      </c>
      <c r="C9" s="6" t="n">
        <v>0.46</v>
      </c>
    </row>
    <row r="10">
      <c r="A10" s="4" t="inlineStr">
        <is>
          <t>14:00–15:00</t>
        </is>
      </c>
      <c r="B10" s="5" t="inlineStr">
        <is>
          <t>基础</t>
        </is>
      </c>
      <c r="C10" s="6" t="n">
        <v>0.04</v>
      </c>
    </row>
    <row r="11">
      <c r="A11" s="4" t="inlineStr">
        <is>
          <t>15:00–16:00</t>
        </is>
      </c>
      <c r="B11" s="5" t="inlineStr">
        <is>
          <t>基础 + 洗衣机（洗涤/甩干）</t>
        </is>
      </c>
      <c r="C11" s="6" t="n">
        <v>0.41</v>
      </c>
    </row>
    <row r="12">
      <c r="A12" s="4" t="inlineStr">
        <is>
          <t>16:00–18:00</t>
        </is>
      </c>
      <c r="B12" s="5" t="inlineStr">
        <is>
          <t>基础</t>
        </is>
      </c>
      <c r="C12" s="6" t="n">
        <v>0.04</v>
      </c>
    </row>
    <row r="13">
      <c r="A13" s="4" t="inlineStr">
        <is>
          <t>18:00–19:00</t>
        </is>
      </c>
      <c r="B13" s="5" t="inlineStr">
        <is>
          <t>基础 + 空调 + 照明 + 电饭煲 + 油烟机 + 电视</t>
        </is>
      </c>
      <c r="C13" s="6" t="n">
        <v>1.78</v>
      </c>
    </row>
    <row r="14">
      <c r="A14" s="4" t="inlineStr">
        <is>
          <t>19:00–19:15</t>
        </is>
      </c>
      <c r="B14" s="5" t="inlineStr">
        <is>
          <t>基础 + 空调 + 照明 + 电热水壶 + 电视（错峰）★工作日峰值</t>
        </is>
      </c>
      <c r="C14" s="6" t="n">
        <v>2.47</v>
      </c>
    </row>
    <row r="15">
      <c r="A15" s="4" t="inlineStr">
        <is>
          <t>19:15–20:00</t>
        </is>
      </c>
      <c r="B15" s="5" t="inlineStr">
        <is>
          <t>空调 + 照明 + 电视</t>
        </is>
      </c>
      <c r="C15" s="6" t="n">
        <v>0.67</v>
      </c>
    </row>
    <row r="16">
      <c r="A16" s="4" t="inlineStr">
        <is>
          <t>20:00–22:30</t>
        </is>
      </c>
      <c r="B16" s="5" t="inlineStr">
        <is>
          <t>空调 + 照明 + 电视 + 笔记本</t>
        </is>
      </c>
      <c r="C16" s="6" t="n">
        <v>0.73</v>
      </c>
    </row>
    <row r="17">
      <c r="A17" s="4" t="inlineStr">
        <is>
          <t>22:30–24:00</t>
        </is>
      </c>
      <c r="B17" s="5" t="inlineStr">
        <is>
          <t>空调 + 照明 + 路由</t>
        </is>
      </c>
      <c r="C17" s="6" t="n">
        <v>0.5600000000000001</v>
      </c>
    </row>
    <row r="18">
      <c r="A18" s="4" t="inlineStr">
        <is>
          <t>周末炊事高峰</t>
        </is>
      </c>
      <c r="B18" s="5" t="inlineStr">
        <is>
          <t>电磁炉 2.1kW + 油烟机 + 空调 + 照明 + 电视 ★设计校核</t>
        </is>
      </c>
      <c r="C18" s="6" t="n">
        <v>3.02</v>
      </c>
    </row>
    <row r="19">
      <c r="A19" s="12" t="inlineStr">
        <is>
          <t>最大同时功率 P_max</t>
        </is>
      </c>
      <c r="B19" s="14" t="inlineStr">
        <is>
          <t>★19:15–20:00 电磁炉时段</t>
        </is>
      </c>
      <c r="C19" s="13">
        <f>MAX(C4:C18)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46" customWidth="1" min="3" max="3"/>
  </cols>
  <sheetData>
    <row r="1">
      <c r="A1" s="1" t="inlineStr">
        <is>
          <t>负荷调查结果汇总（供后续章节使用）</t>
        </is>
      </c>
    </row>
    <row r="3">
      <c r="A3" s="5" t="inlineStr">
        <is>
          <t>交流侧日用电量 E_AC (kWh/d)</t>
        </is>
      </c>
      <c r="B3" s="10">
        <f>负荷清单!G18</f>
        <v/>
      </c>
      <c r="C3" s="16" t="inlineStr">
        <is>
          <t>蓄电池容量、光伏阵列容量</t>
        </is>
      </c>
    </row>
    <row r="4">
      <c r="A4" s="5" t="inlineStr">
        <is>
          <t>最大同时功率 P_max (kW)</t>
        </is>
      </c>
      <c r="B4" s="10">
        <f>'24h运行表'!C19</f>
        <v/>
      </c>
      <c r="C4" s="16" t="inlineStr">
        <is>
          <t>逆变器额定功率选型（周末炊事高峰校核）</t>
        </is>
      </c>
    </row>
    <row r="5">
      <c r="A5" s="5" t="inlineStr">
        <is>
          <t>短时冲击功率 P_short (kW)</t>
        </is>
      </c>
      <c r="B5" s="10">
        <f>B4+0.6</f>
        <v/>
      </c>
      <c r="C5" s="16" t="inlineStr">
        <is>
          <t>逆变器短时功率校核（P_max+冰箱压缩机启动0.6kW）</t>
        </is>
      </c>
    </row>
    <row r="6">
      <c r="A6" s="5" t="inlineStr">
        <is>
          <t>逆变器连续额定建议 ≥1.2×P_max (kW)</t>
        </is>
      </c>
      <c r="B6" s="10">
        <f>B4*1.2</f>
        <v/>
      </c>
      <c r="C6" s="16" t="inlineStr">
        <is>
          <t>指导书 §7.2 裕量，最终选型在 W6</t>
        </is>
      </c>
    </row>
    <row r="7">
      <c r="A7" s="5" t="inlineStr">
        <is>
          <t>逆变器短时额定建议 ≥P_short (kW)</t>
        </is>
      </c>
      <c r="B7" s="10">
        <f>B5</f>
        <v/>
      </c>
      <c r="C7" s="16" t="inlineStr">
        <is>
          <t>指导书 §7.2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2026-09-01T03:44:10Z</dcterms:created>
  <dcterms:modified xmlns:dcterms="http://purl.org/dc/terms/" xmlns:xsi="http://www.w3.org/2001/XMLSchema-instance" xsi:type="dcterms:W3CDTF">2026-09-01T03:44:10Z</dcterms:modified>
</cp:coreProperties>
</file>