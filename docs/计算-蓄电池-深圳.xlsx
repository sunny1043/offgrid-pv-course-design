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参数" sheetId="1" state="visible" r:id="rId1"/>
    <sheet xmlns:r="http://schemas.openxmlformats.org/officeDocument/2006/relationships" name="容量计算" sheetId="2" state="visible" r:id="rId2"/>
    <sheet xmlns:r="http://schemas.openxmlformats.org/officeDocument/2006/relationships" name="校核表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pivotButton="0" quotePrefix="0" xfId="0"/>
    <xf numFmtId="0" fontId="0" fillId="0" borderId="1" pivotButton="0" quotePrefix="0" xfId="0"/>
    <xf numFmtId="0" fontId="1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0" customWidth="1" min="3" max="3"/>
    <col width="50" customWidth="1" min="4" max="4"/>
    <col width="48" customWidth="1" min="5" max="5"/>
  </cols>
  <sheetData>
    <row r="1">
      <c r="A1" s="1" t="inlineStr">
        <is>
          <t>参数</t>
        </is>
      </c>
      <c r="B1" s="1" t="inlineStr">
        <is>
          <t>值</t>
        </is>
      </c>
      <c r="C1" s="1" t="inlineStr">
        <is>
          <t>单位</t>
        </is>
      </c>
      <c r="D1" s="1" t="inlineStr">
        <is>
          <t>含义</t>
        </is>
      </c>
      <c r="E1" s="1" t="inlineStr">
        <is>
          <t>来源/依据</t>
        </is>
      </c>
    </row>
    <row r="2">
      <c r="A2" s="2" t="inlineStr">
        <is>
          <t>E_AC</t>
        </is>
      </c>
      <c r="B2" s="2" t="n">
        <v>6.99</v>
      </c>
      <c r="C2" s="2" t="inlineStr">
        <is>
          <t>kWh/d</t>
        </is>
      </c>
      <c r="D2" s="2" t="inlineStr">
        <is>
          <t>交流侧日用电量（W1 负荷调查）</t>
        </is>
      </c>
      <c r="E2" s="2" t="inlineStr">
        <is>
          <t>docs/负荷调查-深圳.md</t>
        </is>
      </c>
    </row>
    <row r="3">
      <c r="A3" s="2" t="inlineStr">
        <is>
          <t>N_A</t>
        </is>
      </c>
      <c r="B3" s="2" t="n">
        <v>2</v>
      </c>
      <c r="C3" s="2" t="inlineStr">
        <is>
          <t>d</t>
        </is>
      </c>
      <c r="D3" s="2" t="inlineStr">
        <is>
          <t>自主供电天数（基准设计）</t>
        </is>
      </c>
      <c r="E3" s="2" t="inlineStr">
        <is>
          <t>任务书 §4.3 / 指导书 §5.2</t>
        </is>
      </c>
    </row>
    <row r="4">
      <c r="A4" s="2" t="inlineStr">
        <is>
          <t>K_R</t>
        </is>
      </c>
      <c r="B4" s="2" t="n">
        <v>1.1</v>
      </c>
      <c r="C4" s="2" t="inlineStr">
        <is>
          <t>-</t>
        </is>
      </c>
      <c r="D4" s="2" t="inlineStr">
        <is>
          <t>容量储备系数</t>
        </is>
      </c>
      <c r="E4" s="2" t="inlineStr">
        <is>
          <t>指导书 §5.2（1.05~1.10，取 1.10）</t>
        </is>
      </c>
    </row>
    <row r="5">
      <c r="A5" s="2" t="inlineStr">
        <is>
          <t>DOD</t>
        </is>
      </c>
      <c r="B5" s="2" t="n">
        <v>0.9</v>
      </c>
      <c r="C5" s="2" t="inlineStr">
        <is>
          <t>-</t>
        </is>
      </c>
      <c r="D5" s="2" t="inlineStr">
        <is>
          <t>允许放电深度（磷酸铁锂+BMS）</t>
        </is>
      </c>
      <c r="E5" s="2" t="inlineStr">
        <is>
          <t>W3 效率表：0.80 保守 / 0.90 厂商，取 0.90</t>
        </is>
      </c>
    </row>
    <row r="6">
      <c r="A6" s="2" t="inlineStr">
        <is>
          <t>eta_dis</t>
        </is>
      </c>
      <c r="B6" s="2" t="n">
        <v>0.95</v>
      </c>
      <c r="C6" s="2" t="inlineStr">
        <is>
          <t>-</t>
        </is>
      </c>
      <c r="D6" s="2" t="inlineStr">
        <is>
          <t>蓄电池放电效率</t>
        </is>
      </c>
      <c r="E6" s="2" t="inlineStr">
        <is>
          <t>W3 效率表（典型值，选型后回填）</t>
        </is>
      </c>
    </row>
    <row r="7">
      <c r="A7" s="2" t="inlineStr">
        <is>
          <t>eta_inv</t>
        </is>
      </c>
      <c r="B7" s="2" t="n">
        <v>0.92</v>
      </c>
      <c r="C7" s="2" t="inlineStr">
        <is>
          <t>-</t>
        </is>
      </c>
      <c r="D7" s="2" t="inlineStr">
        <is>
          <t>逆变器效率</t>
        </is>
      </c>
      <c r="E7" s="2" t="inlineStr">
        <is>
          <t>任务书示例 0.92 / W3 效率表</t>
        </is>
      </c>
    </row>
    <row r="8">
      <c r="A8" s="2" t="inlineStr">
        <is>
          <t>K_T</t>
        </is>
      </c>
      <c r="B8" s="2" t="n">
        <v>1</v>
      </c>
      <c r="C8" s="2" t="inlineStr">
        <is>
          <t>-</t>
        </is>
      </c>
      <c r="D8" s="2" t="inlineStr">
        <is>
          <t>低温/可用容量修正（深圳低温影响小）</t>
        </is>
      </c>
      <c r="E8" s="2" t="inlineStr">
        <is>
          <t>W3 效率表</t>
        </is>
      </c>
    </row>
    <row r="9">
      <c r="A9" s="2" t="inlineStr">
        <is>
          <t>V_nom</t>
        </is>
      </c>
      <c r="B9" s="2" t="n">
        <v>51.2</v>
      </c>
      <c r="C9" s="2" t="inlineStr">
        <is>
          <t>V</t>
        </is>
      </c>
      <c r="D9" s="2" t="inlineStr">
        <is>
          <t>蓄电池组标称电压（16S 磷酸铁锂）</t>
        </is>
      </c>
      <c r="E9" s="2" t="inlineStr">
        <is>
          <t>模块规格书</t>
        </is>
      </c>
    </row>
    <row r="10">
      <c r="A10" s="2" t="inlineStr">
        <is>
          <t>V_bat_min</t>
        </is>
      </c>
      <c r="B10" s="2" t="n">
        <v>45</v>
      </c>
      <c r="C10" s="2" t="inlineStr">
        <is>
          <t>V</t>
        </is>
      </c>
      <c r="D10" s="2" t="inlineStr">
        <is>
          <t>逆变器最低允许直流输入电压（校核用）</t>
        </is>
      </c>
      <c r="E10" s="2" t="inlineStr">
        <is>
          <t>逆变器规格书（W6 回填）；与模块放电下限 44.8V 一致</t>
        </is>
      </c>
    </row>
    <row r="11">
      <c r="A11" s="2" t="inlineStr">
        <is>
          <t>V_bat_chg</t>
        </is>
      </c>
      <c r="B11" s="2" t="n">
        <v>54.4</v>
      </c>
      <c r="C11" s="2" t="inlineStr">
        <is>
          <t>V</t>
        </is>
      </c>
      <c r="D11" s="2" t="inlineStr">
        <is>
          <t>充电电压（16S×3.4V）</t>
        </is>
      </c>
      <c r="E11" s="2" t="inlineStr">
        <is>
          <t>模块规格书充电上限</t>
        </is>
      </c>
    </row>
    <row r="12">
      <c r="A12" s="2" t="inlineStr">
        <is>
          <t>P_inv_r</t>
        </is>
      </c>
      <c r="B12" s="2" t="n">
        <v>5</v>
      </c>
      <c r="C12" s="2" t="inlineStr">
        <is>
          <t>kW</t>
        </is>
      </c>
      <c r="D12" s="2" t="inlineStr">
        <is>
          <t>逆变器额定功率（暂定 5kW，W6 选型后回填）</t>
        </is>
      </c>
      <c r="E12" s="2" t="inlineStr">
        <is>
          <t>P_max=3.0kW×1.67 裕量；拟选 Growatt SPF 5000 ES 或同级</t>
        </is>
      </c>
    </row>
    <row r="13">
      <c r="A13" s="2" t="inlineStr">
        <is>
          <t>P_sur</t>
        </is>
      </c>
      <c r="B13" s="2" t="n">
        <v>3.6</v>
      </c>
      <c r="C13" s="2" t="inlineStr">
        <is>
          <t>kW</t>
        </is>
      </c>
      <c r="D13" s="2" t="inlineStr">
        <is>
          <t>系统短时冲击功率（W1）</t>
        </is>
      </c>
      <c r="E13" s="2" t="inlineStr">
        <is>
          <t>docs/负荷调查-深圳.md §5</t>
        </is>
      </c>
    </row>
    <row r="14">
      <c r="A14" s="2" t="inlineStr">
        <is>
          <t>P_PV</t>
        </is>
      </c>
      <c r="B14" s="2" t="n">
        <v>2.04</v>
      </c>
      <c r="C14" s="2" t="inlineStr">
        <is>
          <t>kW</t>
        </is>
      </c>
      <c r="D14" s="2" t="inlineStr">
        <is>
          <t>光伏阵列容量预估（W5 回填）</t>
        </is>
      </c>
      <c r="E14" s="2" t="inlineStr">
        <is>
          <t>P_PV=E_AC/(H_tilt·η_path)=6.99/(4.46×0.77)=2.036≈2.04</t>
        </is>
      </c>
    </row>
    <row r="15">
      <c r="A15" s="2" t="inlineStr">
        <is>
          <t>eta_MPPT</t>
        </is>
      </c>
      <c r="B15" s="2" t="n">
        <v>0.96</v>
      </c>
      <c r="C15" s="2" t="inlineStr">
        <is>
          <t>-</t>
        </is>
      </c>
      <c r="D15" s="2" t="inlineStr">
        <is>
          <t>MPPT 控制器效率</t>
        </is>
      </c>
      <c r="E15" s="2" t="inlineStr">
        <is>
          <t>W3 效率表</t>
        </is>
      </c>
    </row>
    <row r="16">
      <c r="A16" s="2" t="inlineStr">
        <is>
          <t>I_ctrl_out_max</t>
        </is>
      </c>
      <c r="B16" s="2" t="n">
        <v>100</v>
      </c>
      <c r="C16" s="2" t="inlineStr">
        <is>
          <t>A</t>
        </is>
      </c>
      <c r="D16" s="2" t="inlineStr">
        <is>
          <t>MPPT 控制器最大输出（充电）电流</t>
        </is>
      </c>
      <c r="E16" s="2" t="inlineStr">
        <is>
          <t>W6 控制器选型后回填（暂按典型 100A）</t>
        </is>
      </c>
    </row>
    <row r="17">
      <c r="A17" s="2" t="inlineStr">
        <is>
          <t>modA_vol</t>
        </is>
      </c>
      <c r="B17" s="2" t="n">
        <v>51.2</v>
      </c>
      <c r="C17" s="2" t="inlineStr">
        <is>
          <t>V</t>
        </is>
      </c>
      <c r="D17" s="2" t="inlineStr">
        <is>
          <t>方案A 模块标称电压（Benhoo BNP-5120BM）</t>
        </is>
      </c>
      <c r="E17" s="2" t="inlineStr">
        <is>
          <t>benhoobattery.com（查询日期 2026-09-01）</t>
        </is>
      </c>
    </row>
    <row r="18">
      <c r="A18" s="2" t="inlineStr">
        <is>
          <t>modA_ah</t>
        </is>
      </c>
      <c r="B18" s="2" t="n">
        <v>100</v>
      </c>
      <c r="C18" s="2" t="inlineStr">
        <is>
          <t>Ah</t>
        </is>
      </c>
      <c r="D18" s="2" t="inlineStr">
        <is>
          <t>方案A 模块标称容量</t>
        </is>
      </c>
      <c r="E18" s="2" t="inlineStr">
        <is>
          <t>同上</t>
        </is>
      </c>
    </row>
    <row r="19">
      <c r="A19" s="2" t="inlineStr">
        <is>
          <t>modA_idis</t>
        </is>
      </c>
      <c r="B19" s="2" t="n">
        <v>100</v>
      </c>
      <c r="C19" s="2" t="inlineStr">
        <is>
          <t>A</t>
        </is>
      </c>
      <c r="D19" s="2" t="inlineStr">
        <is>
          <t>方案A 模块最大连续放电电流</t>
        </is>
      </c>
      <c r="E19" s="2" t="inlineStr">
        <is>
          <t>同上</t>
        </is>
      </c>
    </row>
    <row r="20">
      <c r="A20" s="2" t="inlineStr">
        <is>
          <t>modA_ichg</t>
        </is>
      </c>
      <c r="B20" s="2" t="n">
        <v>50</v>
      </c>
      <c r="C20" s="2" t="inlineStr">
        <is>
          <t>A</t>
        </is>
      </c>
      <c r="D20" s="2" t="inlineStr">
        <is>
          <t>方案A 模块最大充电电流</t>
        </is>
      </c>
      <c r="E20" s="2" t="inlineStr">
        <is>
          <t>同上</t>
        </is>
      </c>
    </row>
    <row r="21">
      <c r="A21" s="2" t="inlineStr">
        <is>
          <t>modA_price</t>
        </is>
      </c>
      <c r="B21" s="2" t="n">
        <v>4000</v>
      </c>
      <c r="C21" s="2" t="inlineStr">
        <is>
          <t>元</t>
        </is>
      </c>
      <c r="D21" s="2" t="inlineStr">
        <is>
          <t>方案A 单模块参考价（区间中值）</t>
        </is>
      </c>
      <c r="E21" s="2" t="inlineStr">
        <is>
          <t>Alibaba 同类 51.2V 100Ah 机架式电池 B2B 报价 ¥3,500~5,000</t>
        </is>
      </c>
    </row>
    <row r="22">
      <c r="A22" s="2" t="inlineStr">
        <is>
          <t>modB_vol</t>
        </is>
      </c>
      <c r="B22" s="2" t="n">
        <v>51.2</v>
      </c>
      <c r="C22" s="2" t="inlineStr">
        <is>
          <t>V</t>
        </is>
      </c>
      <c r="D22" s="2" t="inlineStr">
        <is>
          <t>方案B 模块标称电压</t>
        </is>
      </c>
      <c r="E22" s="2" t="inlineStr">
        <is>
          <t>madeinchina.com（查询日期 2026-09-01）</t>
        </is>
      </c>
    </row>
    <row r="23">
      <c r="A23" s="2" t="inlineStr">
        <is>
          <t>modB_ah</t>
        </is>
      </c>
      <c r="B23" s="2" t="n">
        <v>200</v>
      </c>
      <c r="C23" s="2" t="inlineStr">
        <is>
          <t>Ah</t>
        </is>
      </c>
      <c r="D23" s="2" t="inlineStr">
        <is>
          <t>方案B 模块标称容量</t>
        </is>
      </c>
      <c r="E23" s="2" t="inlineStr">
        <is>
          <t>同上</t>
        </is>
      </c>
    </row>
    <row r="24">
      <c r="A24" s="2" t="inlineStr">
        <is>
          <t>modB_idis</t>
        </is>
      </c>
      <c r="B24" s="2" t="n">
        <v>100</v>
      </c>
      <c r="C24" s="2" t="inlineStr">
        <is>
          <t>A</t>
        </is>
      </c>
      <c r="D24" s="2" t="inlineStr">
        <is>
          <t>方案B 模块最大连续放电电流（0.5C 典型，待规格书确认）</t>
        </is>
      </c>
      <c r="E24" s="2" t="inlineStr">
        <is>
          <t>同上</t>
        </is>
      </c>
    </row>
    <row r="25">
      <c r="A25" s="2" t="inlineStr">
        <is>
          <t>modB_ichg</t>
        </is>
      </c>
      <c r="B25" s="2" t="n">
        <v>100</v>
      </c>
      <c r="C25" s="2" t="inlineStr">
        <is>
          <t>A</t>
        </is>
      </c>
      <c r="D25" s="2" t="inlineStr">
        <is>
          <t>方案B 模块最大充电电流（0.5C 典型，待规格书确认）</t>
        </is>
      </c>
      <c r="E25" s="2" t="inlineStr">
        <is>
          <t>同上</t>
        </is>
      </c>
    </row>
    <row r="26">
      <c r="A26" s="2" t="inlineStr">
        <is>
          <t>modB_price</t>
        </is>
      </c>
      <c r="B26" s="2" t="n">
        <v>6400</v>
      </c>
      <c r="C26" s="2" t="inlineStr">
        <is>
          <t>元</t>
        </is>
      </c>
      <c r="D26" s="2" t="inlineStr">
        <is>
          <t>方案B 单模块参考价（$900 出厂价折算）</t>
        </is>
      </c>
      <c r="E26" s="2" t="inlineStr">
        <is>
          <t>madeinchina.com 报价 $900 ≈ ¥6,400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30" customWidth="1" min="1" max="1"/>
    <col width="52" customWidth="1" min="2" max="2"/>
    <col width="44" customWidth="1" min="3" max="3"/>
    <col width="10" customWidth="1" min="4" max="4"/>
    <col width="60" customWidth="1" min="5" max="5"/>
  </cols>
  <sheetData>
    <row r="1">
      <c r="A1" s="1" t="inlineStr">
        <is>
          <t>项目</t>
        </is>
      </c>
      <c r="B1" s="1" t="inlineStr">
        <is>
          <t>公式（文字说明）</t>
        </is>
      </c>
      <c r="C1" s="1" t="inlineStr">
        <is>
          <t>结果（公式）</t>
        </is>
      </c>
      <c r="D1" s="1" t="inlineStr">
        <is>
          <t>单位</t>
        </is>
      </c>
      <c r="E1" s="1" t="inlineStr">
        <is>
          <t>说明</t>
        </is>
      </c>
    </row>
    <row r="2">
      <c r="A2" s="2" t="inlineStr">
        <is>
          <t>最低标称能量 E_bat,min</t>
        </is>
      </c>
      <c r="B2" s="2" t="inlineStr">
        <is>
          <t>E_AC*N_A*K_R/(DOD*eta_dis*eta_inv*K_T)</t>
        </is>
      </c>
      <c r="C2" s="3">
        <f>参数!B2*参数!B3*参数!B4/(参数!B5*参数!B6*参数!B7*参数!B8)</f>
        <v/>
      </c>
      <c r="D2" s="2" t="inlineStr">
        <is>
          <t>kWh</t>
        </is>
      </c>
      <c r="E2" s="2" t="inlineStr">
        <is>
          <t>指导书 §5.2</t>
        </is>
      </c>
    </row>
    <row r="3">
      <c r="A3" s="2" t="inlineStr">
        <is>
          <t>最低容量 C_bat,min</t>
        </is>
      </c>
      <c r="B3" s="2" t="inlineStr">
        <is>
          <t>1000*E_bat,min/V_nom</t>
        </is>
      </c>
      <c r="C3" s="3">
        <f>1000*B2/参数!B9</f>
        <v/>
      </c>
      <c r="D3" s="2" t="inlineStr">
        <is>
          <t>Ah</t>
        </is>
      </c>
      <c r="E3" s="2" t="inlineStr">
        <is>
          <t>指导书 §5.2</t>
        </is>
      </c>
    </row>
    <row r="4">
      <c r="A4" s="2" t="inlineStr">
        <is>
          <t>方案A 单模块能量 E_modA</t>
        </is>
      </c>
      <c r="B4" s="2" t="inlineStr">
        <is>
          <t>V_modA*Ah_modA/1000</t>
        </is>
      </c>
      <c r="C4" s="3">
        <f>参数!B17*参数!B18/1000</f>
        <v/>
      </c>
      <c r="D4" s="2" t="inlineStr">
        <is>
          <t>kWh</t>
        </is>
      </c>
      <c r="E4" s="2" t="inlineStr">
        <is>
          <t>指导书 §5.3</t>
        </is>
      </c>
    </row>
    <row r="5">
      <c r="A5" s="2" t="inlineStr">
        <is>
          <t>方案A 并联数量(能量) NP,E</t>
        </is>
      </c>
      <c r="B5" s="2" t="inlineStr">
        <is>
          <t>CEILING(E_bat,min/E_modA,1)</t>
        </is>
      </c>
      <c r="C5" s="3">
        <f>CEILING(B2/B4,1)</f>
        <v/>
      </c>
      <c r="D5" s="2" t="inlineStr">
        <is>
          <t>个</t>
        </is>
      </c>
      <c r="E5" s="2" t="inlineStr">
        <is>
          <t>指导书 §5.3</t>
        </is>
      </c>
    </row>
    <row r="6">
      <c r="A6" s="2" t="inlineStr">
        <is>
          <t>方案A 实际标称能量</t>
        </is>
      </c>
      <c r="B6" s="2" t="inlineStr">
        <is>
          <t>NP,E*E_modA</t>
        </is>
      </c>
      <c r="C6" s="3">
        <f>B5*B4</f>
        <v/>
      </c>
      <c r="D6" s="2" t="inlineStr">
        <is>
          <t>kWh</t>
        </is>
      </c>
      <c r="E6" s="2" t="inlineStr"/>
    </row>
    <row r="7">
      <c r="A7" s="2" t="inlineStr">
        <is>
          <t>方案A 连续放电电流 I_dis</t>
        </is>
      </c>
      <c r="B7" s="2" t="inlineStr">
        <is>
          <t>P_inv_r*1000/(V_bat_min*eta_inv)</t>
        </is>
      </c>
      <c r="C7" s="3">
        <f>参数!B12*1000/(参数!B10*参数!B7)</f>
        <v/>
      </c>
      <c r="D7" s="2" t="inlineStr">
        <is>
          <t>A</t>
        </is>
      </c>
      <c r="E7" s="2" t="inlineStr">
        <is>
          <t>指导书 §5.4</t>
        </is>
      </c>
    </row>
    <row r="8">
      <c r="A8" s="2" t="inlineStr">
        <is>
          <t>方案A 短时放电电流</t>
        </is>
      </c>
      <c r="B8" s="2" t="inlineStr">
        <is>
          <t>P_sur*1000/(V_bat_min*eta_inv)</t>
        </is>
      </c>
      <c r="C8" s="3">
        <f>参数!B13*1000/(参数!B10*参数!B7)</f>
        <v/>
      </c>
      <c r="D8" s="2" t="inlineStr">
        <is>
          <t>A</t>
        </is>
      </c>
      <c r="E8" s="2" t="inlineStr">
        <is>
          <t>指导书 §5.4</t>
        </is>
      </c>
    </row>
    <row r="9">
      <c r="A9" s="2" t="inlineStr">
        <is>
          <t>方案A 最大充电电流 I_chg</t>
        </is>
      </c>
      <c r="B9" s="2" t="inlineStr">
        <is>
          <t>MIN(P_PV*1000*eta_MPPT/V_bat_chg, I_ctrl_out_max)</t>
        </is>
      </c>
      <c r="C9" s="3">
        <f>MIN(参数!B14*1000*参数!B15/参数!B11, 参数!B16)</f>
        <v/>
      </c>
      <c r="D9" s="2" t="inlineStr">
        <is>
          <t>A</t>
        </is>
      </c>
      <c r="E9" s="2" t="inlineStr">
        <is>
          <t>指导书 §5.4；第二项=控制器输出限流（W6 回填）</t>
        </is>
      </c>
    </row>
    <row r="10">
      <c r="A10" s="2" t="inlineStr">
        <is>
          <t>方案A 并联数量(放电)</t>
        </is>
      </c>
      <c r="B10" s="2" t="inlineStr">
        <is>
          <t>CEILING(I_dis/modA_idis,1)</t>
        </is>
      </c>
      <c r="C10" s="3">
        <f>CEILING(B7/参数!B19,1)</f>
        <v/>
      </c>
      <c r="D10" s="2" t="inlineStr">
        <is>
          <t>个</t>
        </is>
      </c>
      <c r="E10" s="2" t="inlineStr"/>
    </row>
    <row r="11">
      <c r="A11" s="2" t="inlineStr">
        <is>
          <t>方案A 并联数量(充电)</t>
        </is>
      </c>
      <c r="B11" s="2" t="inlineStr">
        <is>
          <t>CEILING(I_chg/modA_ichg,1)</t>
        </is>
      </c>
      <c r="C11" s="3">
        <f>CEILING(B9/参数!B20,1)</f>
        <v/>
      </c>
      <c r="D11" s="2" t="inlineStr">
        <is>
          <t>个</t>
        </is>
      </c>
      <c r="E11" s="2" t="inlineStr"/>
    </row>
    <row r="12">
      <c r="A12" s="2" t="inlineStr">
        <is>
          <t>方案A 最终并联数量 NP</t>
        </is>
      </c>
      <c r="B12" s="2" t="inlineStr">
        <is>
          <t>MAX(NP,E,NP,dis,NP,chg)</t>
        </is>
      </c>
      <c r="C12" s="3">
        <f>MAX(B5,B10,B11)</f>
        <v/>
      </c>
      <c r="D12" s="2" t="inlineStr">
        <is>
          <t>个</t>
        </is>
      </c>
      <c r="E12" s="2" t="inlineStr">
        <is>
          <t>指导书 §5.4</t>
        </is>
      </c>
    </row>
    <row r="13">
      <c r="A13" s="2" t="inlineStr">
        <is>
          <t>方案A 配置</t>
        </is>
      </c>
      <c r="B13" s="2" t="inlineStr">
        <is>
          <t>"51.2V 100Ah×"&amp;NP</t>
        </is>
      </c>
      <c r="C13" s="3">
        <f>"51.2V 100Ah×"&amp;B12</f>
        <v/>
      </c>
      <c r="D13" s="2" t="inlineStr">
        <is>
          <t>-</t>
        </is>
      </c>
      <c r="E13" s="2" t="inlineStr"/>
    </row>
    <row r="14">
      <c r="A14" s="2" t="inlineStr">
        <is>
          <t>方案A 成本(模块)</t>
        </is>
      </c>
      <c r="B14" s="2" t="inlineStr">
        <is>
          <t>NP*modA_price</t>
        </is>
      </c>
      <c r="C14" s="3">
        <f>B12*参数!B21</f>
        <v/>
      </c>
      <c r="D14" s="2" t="inlineStr">
        <is>
          <t>元</t>
        </is>
      </c>
      <c r="E14" s="2" t="inlineStr">
        <is>
          <t>按模块单价×数量（不含BMS/柜体/安装）</t>
        </is>
      </c>
    </row>
    <row r="15">
      <c r="A15" s="2" t="inlineStr">
        <is>
          <t>3d 标称能量</t>
        </is>
      </c>
      <c r="B15" s="2" t="inlineStr">
        <is>
          <t>E_AC*3*K_R/(DOD*eta_dis*eta_inv*K_T)</t>
        </is>
      </c>
      <c r="C15" s="3">
        <f>参数!B2*3*参数!B4/(参数!B5*参数!B6*参数!B7*参数!B8)</f>
        <v/>
      </c>
      <c r="D15" s="2" t="inlineStr">
        <is>
          <t>kWh</t>
        </is>
      </c>
      <c r="E15" s="2" t="inlineStr">
        <is>
          <t>敏感性分析</t>
        </is>
      </c>
    </row>
    <row r="16">
      <c r="A16" s="2" t="inlineStr">
        <is>
          <t>3d/2d 比值</t>
        </is>
      </c>
      <c r="B16" s="2" t="inlineStr">
        <is>
          <t>E_3d/E_bat,min</t>
        </is>
      </c>
      <c r="C16" s="3">
        <f>B15/B2</f>
        <v/>
      </c>
      <c r="D16" s="2" t="inlineStr">
        <is>
          <t>-</t>
        </is>
      </c>
      <c r="E16" s="2" t="inlineStr">
        <is>
          <t>理论 = 1.5</t>
        </is>
      </c>
    </row>
    <row r="17">
      <c r="A17" s="2" t="inlineStr">
        <is>
          <t>方案B 单模块能量 E_modB</t>
        </is>
      </c>
      <c r="B17" s="2" t="inlineStr">
        <is>
          <t>V_modB*Ah_modB/1000</t>
        </is>
      </c>
      <c r="C17" s="3">
        <f>参数!B22*参数!B23/1000</f>
        <v/>
      </c>
      <c r="D17" s="2" t="inlineStr">
        <is>
          <t>kWh</t>
        </is>
      </c>
      <c r="E17" s="2" t="inlineStr"/>
    </row>
    <row r="18">
      <c r="A18" s="2" t="inlineStr">
        <is>
          <t>方案B 并联数量(能量)</t>
        </is>
      </c>
      <c r="B18" s="2" t="inlineStr">
        <is>
          <t>CEILING(E_bat,min/E_modB,1)</t>
        </is>
      </c>
      <c r="C18" s="3">
        <f>CEILING(B2/B17,1)</f>
        <v/>
      </c>
      <c r="D18" s="2" t="inlineStr">
        <is>
          <t>个</t>
        </is>
      </c>
      <c r="E18" s="2" t="inlineStr"/>
    </row>
    <row r="19">
      <c r="A19" s="2" t="inlineStr">
        <is>
          <t>方案B 实际标称能量</t>
        </is>
      </c>
      <c r="B19" s="2" t="inlineStr">
        <is>
          <t>NP,E_B*E_modB</t>
        </is>
      </c>
      <c r="C19" s="3">
        <f>B18*B17</f>
        <v/>
      </c>
      <c r="D19" s="2" t="inlineStr">
        <is>
          <t>kWh</t>
        </is>
      </c>
      <c r="E19" s="2" t="inlineStr"/>
    </row>
    <row r="20">
      <c r="A20" s="2" t="inlineStr">
        <is>
          <t>方案B 配置</t>
        </is>
      </c>
      <c r="B20" s="2" t="inlineStr">
        <is>
          <t>"51.2V 200Ah×"&amp;NP,E_B</t>
        </is>
      </c>
      <c r="C20" s="3">
        <f>"51.2V 200Ah×"&amp;B18</f>
        <v/>
      </c>
      <c r="D20" s="2" t="inlineStr">
        <is>
          <t>-</t>
        </is>
      </c>
      <c r="E20" s="2" t="inlineStr"/>
    </row>
    <row r="21">
      <c r="A21" s="2" t="inlineStr">
        <is>
          <t>方案B 成本(模块)</t>
        </is>
      </c>
      <c r="B21" s="2" t="inlineStr">
        <is>
          <t>NP,E_B*modB_price</t>
        </is>
      </c>
      <c r="C21" s="3">
        <f>B18*参数!B26</f>
        <v/>
      </c>
      <c r="D21" s="2" t="inlineStr">
        <is>
          <t>元</t>
        </is>
      </c>
      <c r="E21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24" customWidth="1" min="1" max="1"/>
    <col width="40" customWidth="1" min="2" max="2"/>
    <col width="36" customWidth="1" min="3" max="3"/>
    <col width="14" customWidth="1" min="4" max="4"/>
  </cols>
  <sheetData>
    <row r="1">
      <c r="A1" s="1" t="inlineStr">
        <is>
          <t>项目</t>
        </is>
      </c>
      <c r="B1" s="1" t="inlineStr">
        <is>
          <t>计算或选定结果</t>
        </is>
      </c>
      <c r="C1" s="1" t="inlineStr">
        <is>
          <t>产品允许值</t>
        </is>
      </c>
      <c r="D1" s="1" t="inlineStr">
        <is>
          <t>结论</t>
        </is>
      </c>
    </row>
    <row r="2">
      <c r="A2" s="2" t="inlineStr">
        <is>
          <t>最低标称能量</t>
        </is>
      </c>
      <c r="B2" s="2">
        <f>容量计算!C2</f>
        <v/>
      </c>
      <c r="C2" s="2" t="inlineStr">
        <is>
          <t>—</t>
        </is>
      </c>
      <c r="D2" s="2" t="inlineStr">
        <is>
          <t>—</t>
        </is>
      </c>
    </row>
    <row r="3">
      <c r="A3" s="2" t="inlineStr">
        <is>
          <t>模块型号及单模块能量</t>
        </is>
      </c>
      <c r="B3" s="2" t="inlineStr">
        <is>
          <t>Benhoo BNP-5120BM（51.2V 100Ah，5.12kWh）</t>
        </is>
      </c>
      <c r="C3" s="2" t="inlineStr">
        <is>
          <t>—</t>
        </is>
      </c>
      <c r="D3" s="2" t="inlineStr">
        <is>
          <t>—</t>
        </is>
      </c>
    </row>
    <row r="4">
      <c r="A4" s="2" t="inlineStr">
        <is>
          <t>串联数量</t>
        </is>
      </c>
      <c r="B4" s="2" t="n">
        <v>1</v>
      </c>
      <c r="C4" s="2" t="inlineStr">
        <is>
          <t>1（完整模块禁止串联）</t>
        </is>
      </c>
      <c r="D4" s="2" t="inlineStr">
        <is>
          <t>OK</t>
        </is>
      </c>
    </row>
    <row r="5">
      <c r="A5" s="2" t="inlineStr">
        <is>
          <t>并联数量</t>
        </is>
      </c>
      <c r="B5" s="2">
        <f>容量计算!C12</f>
        <v/>
      </c>
      <c r="C5" s="2" t="inlineStr">
        <is>
          <t>≤75 台（厂家标注）</t>
        </is>
      </c>
      <c r="D5" s="2" t="inlineStr">
        <is>
          <t>OK</t>
        </is>
      </c>
    </row>
    <row r="6">
      <c r="A6" s="2" t="inlineStr">
        <is>
          <t>实际标称能量</t>
        </is>
      </c>
      <c r="B6" s="2">
        <f>容量计算!C6</f>
        <v/>
      </c>
      <c r="C6" s="2">
        <f>1.25*容量计算!C2</f>
        <v/>
      </c>
      <c r="D6" s="2">
        <f>IF(B6&lt;=C6,"OK","超标")</f>
        <v/>
      </c>
    </row>
    <row r="7">
      <c r="A7" s="2" t="inlineStr">
        <is>
          <t>连续放电电流</t>
        </is>
      </c>
      <c r="B7" s="2">
        <f>容量计算!C7</f>
        <v/>
      </c>
      <c r="C7" s="2">
        <f>容量计算!C12*参数!B19</f>
        <v/>
      </c>
      <c r="D7" s="2">
        <f>IF(B7&lt;=C7,"OK","不足")</f>
        <v/>
      </c>
    </row>
    <row r="8">
      <c r="A8" s="2" t="inlineStr">
        <is>
          <t>短时放电电流</t>
        </is>
      </c>
      <c r="B8" s="2">
        <f>容量计算!C8</f>
        <v/>
      </c>
      <c r="C8" s="2">
        <f>容量计算!C12*参数!B19</f>
        <v/>
      </c>
      <c r="D8" s="2">
        <f>IF(B8&lt;=C8,"OK","不足")</f>
        <v/>
      </c>
    </row>
    <row r="9">
      <c r="A9" s="2" t="inlineStr">
        <is>
          <t>最大充电电流</t>
        </is>
      </c>
      <c r="B9" s="2">
        <f>容量计算!C9</f>
        <v/>
      </c>
      <c r="C9" s="2">
        <f>容量计算!C12*参数!B20</f>
        <v/>
      </c>
      <c r="D9" s="2">
        <f>IF(B9&lt;=C9,"OK","不足")</f>
        <v/>
      </c>
    </row>
    <row r="10">
      <c r="A10" s="2" t="inlineStr">
        <is>
          <t>BMS 与并联限制</t>
        </is>
      </c>
      <c r="B10" s="2" t="inlineStr">
        <is>
          <t>智能BMS（RS485/CAN），并联 4 台</t>
        </is>
      </c>
      <c r="C10" s="2" t="inlineStr">
        <is>
          <t>—</t>
        </is>
      </c>
      <c r="D10" s="2" t="inlineStr">
        <is>
          <t>OK</t>
        </is>
      </c>
    </row>
    <row r="11">
      <c r="A11" s="2" t="inlineStr">
        <is>
          <t>2d/3d 对比</t>
        </is>
      </c>
      <c r="B11" s="2">
        <f>容量计算!C15</f>
        <v/>
      </c>
      <c r="C11" s="2" t="inlineStr">
        <is>
          <t>3d≈1.5×2d</t>
        </is>
      </c>
      <c r="D11" s="2">
        <f>IF(ABS(B11/容量计算!C2-1.5)&lt;0.01,"OK","复核")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2026-09-01T09:09:40Z</dcterms:created>
  <dcterms:modified xmlns:dcterms="http://purl.org/dc/terms/" xmlns:xsi="http://www.w3.org/2001/XMLSchema-instance" xsi:type="dcterms:W3CDTF">2026-09-01T09:09:40Z</dcterms:modified>
</cp:coreProperties>
</file>