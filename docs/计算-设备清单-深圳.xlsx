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清单" sheetId="1" state="visible" r:id="rId1"/>
    <sheet xmlns:r="http://schemas.openxmlformats.org/officeDocument/2006/relationships" name="成本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808080"/>
      <sz val="9"/>
    </font>
    <font>
      <name val="微软雅黑"/>
      <b val="1"/>
    </font>
    <font>
      <name val="微软雅黑"/>
      <color rgb="000000FF"/>
    </font>
    <font>
      <name val="微软雅黑"/>
      <color rgb="00000000"/>
    </font>
    <font>
      <name val="微软雅黑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3" fillId="3" borderId="1" pivotButton="0" quotePrefix="0" xfId="0"/>
    <xf numFmtId="3" fontId="3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4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40" customWidth="1" min="3" max="3"/>
    <col width="6" customWidth="1" min="4" max="4"/>
    <col width="5" customWidth="1" min="5" max="5"/>
    <col width="9" customWidth="1" min="6" max="6"/>
    <col width="10" customWidth="1" min="7" max="7"/>
    <col width="26" customWidth="1" min="8" max="8"/>
  </cols>
  <sheetData>
    <row r="1">
      <c r="A1" s="1" t="inlineStr">
        <is>
          <t>户用离网光伏发电系统 — 设备清单 BOM（深圳 · W11）</t>
        </is>
      </c>
    </row>
    <row r="2">
      <c r="A2" s="2" t="inlineStr">
        <is>
          <t>价格为市场参考价（电商/B2B，查询日期 2026-09-03，单一时间基准）；小计 = 数量×单价</t>
        </is>
      </c>
    </row>
    <row r="3">
      <c r="A3" s="3" t="inlineStr">
        <is>
          <t>类别</t>
        </is>
      </c>
      <c r="B3" s="3" t="inlineStr">
        <is>
          <t>设备/材料</t>
        </is>
      </c>
      <c r="C3" s="3" t="inlineStr">
        <is>
          <t>规格型号</t>
        </is>
      </c>
      <c r="D3" s="3" t="inlineStr">
        <is>
          <t>数量</t>
        </is>
      </c>
      <c r="E3" s="3" t="inlineStr">
        <is>
          <t>单位</t>
        </is>
      </c>
      <c r="F3" s="3" t="inlineStr">
        <is>
          <t>单价(¥)</t>
        </is>
      </c>
      <c r="G3" s="3" t="inlineStr">
        <is>
          <t>小计(¥)</t>
        </is>
      </c>
      <c r="H3" s="3" t="inlineStr">
        <is>
          <t>价格参考</t>
        </is>
      </c>
    </row>
    <row r="4">
      <c r="A4" s="4" t="inlineStr">
        <is>
          <t>光伏阵列</t>
        </is>
      </c>
      <c r="B4" s="5" t="inlineStr">
        <is>
          <t>光伏组件</t>
        </is>
      </c>
      <c r="C4" s="5" t="inlineStr">
        <is>
          <t>隆基 Hi-MO 7 LR7-72HGD-600M（600W N型）</t>
        </is>
      </c>
      <c r="D4" s="6" t="n">
        <v>4</v>
      </c>
      <c r="E4" s="4" t="inlineStr">
        <is>
          <t>块</t>
        </is>
      </c>
      <c r="F4" s="7" t="n">
        <v>650</v>
      </c>
      <c r="G4" s="8">
        <f>D4*F4</f>
        <v/>
      </c>
      <c r="H4" s="9" t="inlineStr">
        <is>
          <t>2026 低价期零售参考</t>
        </is>
      </c>
    </row>
    <row r="5">
      <c r="A5" s="4" t="inlineStr">
        <is>
          <t>光伏阵列</t>
        </is>
      </c>
      <c r="B5" s="5" t="inlineStr">
        <is>
          <t>MC4 连接器</t>
        </is>
      </c>
      <c r="C5" s="5" t="inlineStr">
        <is>
          <t>光伏专用（含防护）</t>
        </is>
      </c>
      <c r="D5" s="6" t="n">
        <v>8</v>
      </c>
      <c r="E5" s="4" t="inlineStr">
        <is>
          <t>对</t>
        </is>
      </c>
      <c r="F5" s="7" t="n">
        <v>16</v>
      </c>
      <c r="G5" s="8">
        <f>D5*F5</f>
        <v/>
      </c>
      <c r="H5" s="9" t="inlineStr">
        <is>
          <t>电商</t>
        </is>
      </c>
    </row>
    <row r="6">
      <c r="A6" s="4" t="inlineStr">
        <is>
          <t>支架</t>
        </is>
      </c>
      <c r="B6" s="5" t="inlineStr">
        <is>
          <t>屋面铝合金支架系统</t>
        </is>
      </c>
      <c r="C6" s="5" t="inlineStr">
        <is>
          <t>6063-T5 导轨×8+压块/立柱/锚固（2.40kWp）</t>
        </is>
      </c>
      <c r="D6" s="6" t="n">
        <v>1</v>
      </c>
      <c r="E6" s="4" t="inlineStr">
        <is>
          <t>套</t>
        </is>
      </c>
      <c r="F6" s="7" t="n">
        <v>1300</v>
      </c>
      <c r="G6" s="8">
        <f>D6*F6</f>
        <v/>
      </c>
      <c r="H6" s="9" t="inlineStr">
        <is>
          <t>铝价≈23780元/t(2026-06)+加工</t>
        </is>
      </c>
    </row>
    <row r="7">
      <c r="A7" s="4" t="inlineStr">
        <is>
          <t>控制和变换</t>
        </is>
      </c>
      <c r="B7" s="5" t="inlineStr">
        <is>
          <t>离网逆变器（含MPPT）</t>
        </is>
      </c>
      <c r="C7" s="5" t="inlineStr">
        <is>
          <t>Growatt SPF 5000 ES</t>
        </is>
      </c>
      <c r="D7" s="6" t="n">
        <v>1</v>
      </c>
      <c r="E7" s="4" t="inlineStr">
        <is>
          <t>台</t>
        </is>
      </c>
      <c r="F7" s="7" t="n">
        <v>2200</v>
      </c>
      <c r="G7" s="8">
        <f>D7*F7</f>
        <v/>
      </c>
      <c r="H7" s="9" t="inlineStr">
        <is>
          <t>淘宝实价≈¥2150</t>
        </is>
      </c>
    </row>
    <row r="8">
      <c r="A8" s="4" t="inlineStr">
        <is>
          <t>蓄电池</t>
        </is>
      </c>
      <c r="B8" s="5" t="inlineStr">
        <is>
          <t>磷酸铁锂模块</t>
        </is>
      </c>
      <c r="C8" s="5" t="inlineStr">
        <is>
          <t>Benhoo BNP-5120BM（51.2V/100Ah/5.12kWh）</t>
        </is>
      </c>
      <c r="D8" s="6" t="n">
        <v>4</v>
      </c>
      <c r="E8" s="4" t="inlineStr">
        <is>
          <t>台</t>
        </is>
      </c>
      <c r="F8" s="7" t="n">
        <v>4000</v>
      </c>
      <c r="G8" s="8">
        <f>D8*F8</f>
        <v/>
      </c>
      <c r="H8" s="9" t="inlineStr">
        <is>
          <t>B2B ¥3500~5000/台</t>
        </is>
      </c>
    </row>
    <row r="9">
      <c r="A9" s="4" t="inlineStr">
        <is>
          <t>蓄电池</t>
        </is>
      </c>
      <c r="B9" s="5" t="inlineStr">
        <is>
          <t>电池柜</t>
        </is>
      </c>
      <c r="C9" s="5" t="inlineStr">
        <is>
          <t>19" 机柜 600×600×1200</t>
        </is>
      </c>
      <c r="D9" s="6" t="n">
        <v>1</v>
      </c>
      <c r="E9" s="4" t="inlineStr">
        <is>
          <t>台</t>
        </is>
      </c>
      <c r="F9" s="7" t="n">
        <v>1000</v>
      </c>
      <c r="G9" s="8">
        <f>D9*F9</f>
        <v/>
      </c>
      <c r="H9" s="9" t="inlineStr">
        <is>
          <t>电商</t>
        </is>
      </c>
    </row>
    <row r="10">
      <c r="A10" s="4" t="inlineStr">
        <is>
          <t>蓄电池</t>
        </is>
      </c>
      <c r="B10" s="5" t="inlineStr">
        <is>
          <t>母排/连接件</t>
        </is>
      </c>
      <c r="C10" s="5" t="inlineStr">
        <is>
          <t>等长等截面铜排+线缆</t>
        </is>
      </c>
      <c r="D10" s="6" t="n">
        <v>1</v>
      </c>
      <c r="E10" s="4" t="inlineStr">
        <is>
          <t>套</t>
        </is>
      </c>
      <c r="F10" s="7" t="n">
        <v>300</v>
      </c>
      <c r="G10" s="8">
        <f>D10*F10</f>
        <v/>
      </c>
      <c r="H10" s="9" t="inlineStr">
        <is>
          <t>估</t>
        </is>
      </c>
    </row>
    <row r="11">
      <c r="A11" s="4" t="inlineStr">
        <is>
          <t>直流保护</t>
        </is>
      </c>
      <c r="B11" s="5" t="inlineStr">
        <is>
          <t>组串熔断器</t>
        </is>
      </c>
      <c r="C11" s="5" t="inlineStr">
        <is>
          <t>25A gPV</t>
        </is>
      </c>
      <c r="D11" s="6" t="n">
        <v>1</v>
      </c>
      <c r="E11" s="4" t="inlineStr">
        <is>
          <t>个</t>
        </is>
      </c>
      <c r="F11" s="7" t="n">
        <v>40</v>
      </c>
      <c r="G11" s="8">
        <f>D11*F11</f>
        <v/>
      </c>
      <c r="H11" s="9" t="inlineStr">
        <is>
          <t>电商</t>
        </is>
      </c>
    </row>
    <row r="12">
      <c r="A12" s="4" t="inlineStr">
        <is>
          <t>直流保护</t>
        </is>
      </c>
      <c r="B12" s="5" t="inlineStr">
        <is>
          <t>直流隔离开关</t>
        </is>
      </c>
      <c r="C12" s="5" t="inlineStr">
        <is>
          <t>2P 600Vdc</t>
        </is>
      </c>
      <c r="D12" s="6" t="n">
        <v>1</v>
      </c>
      <c r="E12" s="4" t="inlineStr">
        <is>
          <t>个</t>
        </is>
      </c>
      <c r="F12" s="7" t="n">
        <v>180</v>
      </c>
      <c r="G12" s="8">
        <f>D12*F12</f>
        <v/>
      </c>
      <c r="H12" s="9" t="inlineStr">
        <is>
          <t>电商</t>
        </is>
      </c>
    </row>
    <row r="13">
      <c r="A13" s="4" t="inlineStr">
        <is>
          <t>直流保护</t>
        </is>
      </c>
      <c r="B13" s="5" t="inlineStr">
        <is>
          <t>直流 SPD</t>
        </is>
      </c>
      <c r="C13" s="5" t="inlineStr">
        <is>
          <t>Type II 1000Vdc（Ucpv≥265V）</t>
        </is>
      </c>
      <c r="D13" s="6" t="n">
        <v>1</v>
      </c>
      <c r="E13" s="4" t="inlineStr">
        <is>
          <t>个</t>
        </is>
      </c>
      <c r="F13" s="7" t="n">
        <v>220</v>
      </c>
      <c r="G13" s="8">
        <f>D13*F13</f>
        <v/>
      </c>
      <c r="H13" s="9" t="inlineStr">
        <is>
          <t>电商</t>
        </is>
      </c>
    </row>
    <row r="14">
      <c r="A14" s="4" t="inlineStr">
        <is>
          <t>直流保护</t>
        </is>
      </c>
      <c r="B14" s="5" t="inlineStr">
        <is>
          <t>电池支路熔断器</t>
        </is>
      </c>
      <c r="C14" s="5" t="inlineStr">
        <is>
          <t>100A gPV</t>
        </is>
      </c>
      <c r="D14" s="6" t="n">
        <v>4</v>
      </c>
      <c r="E14" s="4" t="inlineStr">
        <is>
          <t>个</t>
        </is>
      </c>
      <c r="F14" s="7" t="n">
        <v>35</v>
      </c>
      <c r="G14" s="8">
        <f>D14*F14</f>
        <v/>
      </c>
      <c r="H14" s="9" t="inlineStr">
        <is>
          <t>电商</t>
        </is>
      </c>
    </row>
    <row r="15">
      <c r="A15" s="4" t="inlineStr">
        <is>
          <t>直流保护</t>
        </is>
      </c>
      <c r="B15" s="5" t="inlineStr">
        <is>
          <t>电池总保护</t>
        </is>
      </c>
      <c r="C15" s="5" t="inlineStr">
        <is>
          <t>160A DC MCB（2P）</t>
        </is>
      </c>
      <c r="D15" s="6" t="n">
        <v>1</v>
      </c>
      <c r="E15" s="4" t="inlineStr">
        <is>
          <t>个</t>
        </is>
      </c>
      <c r="F15" s="7" t="n">
        <v>450</v>
      </c>
      <c r="G15" s="8">
        <f>D15*F15</f>
        <v/>
      </c>
      <c r="H15" s="9" t="inlineStr">
        <is>
          <t>电商</t>
        </is>
      </c>
    </row>
    <row r="16">
      <c r="A16" s="4" t="inlineStr">
        <is>
          <t>直流保护</t>
        </is>
      </c>
      <c r="B16" s="5" t="inlineStr">
        <is>
          <t>MPPT→电池保护</t>
        </is>
      </c>
      <c r="C16" s="5" t="inlineStr">
        <is>
          <t>50A MCB</t>
        </is>
      </c>
      <c r="D16" s="6" t="n">
        <v>1</v>
      </c>
      <c r="E16" s="4" t="inlineStr">
        <is>
          <t>个</t>
        </is>
      </c>
      <c r="F16" s="7" t="n">
        <v>150</v>
      </c>
      <c r="G16" s="8">
        <f>D16*F16</f>
        <v/>
      </c>
      <c r="H16" s="9" t="inlineStr">
        <is>
          <t>电商</t>
        </is>
      </c>
    </row>
    <row r="17">
      <c r="A17" s="4" t="inlineStr">
        <is>
          <t>交流配电</t>
        </is>
      </c>
      <c r="B17" s="5" t="inlineStr">
        <is>
          <t>交流配电箱 DB</t>
        </is>
      </c>
      <c r="C17" s="5" t="inlineStr">
        <is>
          <t>含汇排/端子</t>
        </is>
      </c>
      <c r="D17" s="6" t="n">
        <v>1</v>
      </c>
      <c r="E17" s="4" t="inlineStr">
        <is>
          <t>台</t>
        </is>
      </c>
      <c r="F17" s="7" t="n">
        <v>320</v>
      </c>
      <c r="G17" s="8">
        <f>D17*F17</f>
        <v/>
      </c>
      <c r="H17" s="9" t="inlineStr">
        <is>
          <t>电商</t>
        </is>
      </c>
    </row>
    <row r="18">
      <c r="A18" s="4" t="inlineStr">
        <is>
          <t>交流配电</t>
        </is>
      </c>
      <c r="B18" s="5" t="inlineStr">
        <is>
          <t>输出 MCB</t>
        </is>
      </c>
      <c r="C18" s="5" t="inlineStr">
        <is>
          <t>32A C 曲线</t>
        </is>
      </c>
      <c r="D18" s="6" t="n">
        <v>1</v>
      </c>
      <c r="E18" s="4" t="inlineStr">
        <is>
          <t>个</t>
        </is>
      </c>
      <c r="F18" s="7" t="n">
        <v>60</v>
      </c>
      <c r="G18" s="8">
        <f>D18*F18</f>
        <v/>
      </c>
      <c r="H18" s="9" t="inlineStr">
        <is>
          <t>电商</t>
        </is>
      </c>
    </row>
    <row r="19">
      <c r="A19" s="4" t="inlineStr">
        <is>
          <t>交流配电</t>
        </is>
      </c>
      <c r="B19" s="5" t="inlineStr">
        <is>
          <t>剩余电流保护 RCD</t>
        </is>
      </c>
      <c r="C19" s="5" t="inlineStr">
        <is>
          <t>30mA</t>
        </is>
      </c>
      <c r="D19" s="6" t="n">
        <v>1</v>
      </c>
      <c r="E19" s="4" t="inlineStr">
        <is>
          <t>个</t>
        </is>
      </c>
      <c r="F19" s="7" t="n">
        <v>120</v>
      </c>
      <c r="G19" s="8">
        <f>D19*F19</f>
        <v/>
      </c>
      <c r="H19" s="9" t="inlineStr">
        <is>
          <t>电商</t>
        </is>
      </c>
    </row>
    <row r="20">
      <c r="A20" s="4" t="inlineStr">
        <is>
          <t>交流配电</t>
        </is>
      </c>
      <c r="B20" s="5" t="inlineStr">
        <is>
          <t>交流 SPD</t>
        </is>
      </c>
      <c r="C20" s="5" t="inlineStr">
        <is>
          <t>Type II 220V（Imax 40kA）</t>
        </is>
      </c>
      <c r="D20" s="6" t="n">
        <v>1</v>
      </c>
      <c r="E20" s="4" t="inlineStr">
        <is>
          <t>个</t>
        </is>
      </c>
      <c r="F20" s="7" t="n">
        <v>200</v>
      </c>
      <c r="G20" s="8">
        <f>D20*F20</f>
        <v/>
      </c>
      <c r="H20" s="9" t="inlineStr">
        <is>
          <t>电商</t>
        </is>
      </c>
    </row>
    <row r="21">
      <c r="A21" s="4" t="inlineStr">
        <is>
          <t>交流配电</t>
        </is>
      </c>
      <c r="B21" s="5" t="inlineStr">
        <is>
          <t>末端 MCB</t>
        </is>
      </c>
      <c r="C21" s="5" t="inlineStr">
        <is>
          <t>10/20/20/16A</t>
        </is>
      </c>
      <c r="D21" s="6" t="n">
        <v>4</v>
      </c>
      <c r="E21" s="4" t="inlineStr">
        <is>
          <t>个</t>
        </is>
      </c>
      <c r="F21" s="7" t="n">
        <v>25</v>
      </c>
      <c r="G21" s="8">
        <f>D21*F21</f>
        <v/>
      </c>
      <c r="H21" s="9" t="inlineStr">
        <is>
          <t>电商</t>
        </is>
      </c>
    </row>
    <row r="22">
      <c r="A22" s="4" t="inlineStr">
        <is>
          <t>线缆和接地</t>
        </is>
      </c>
      <c r="B22" s="5" t="inlineStr">
        <is>
          <t>PV1-F 光伏线 4mm²</t>
        </is>
      </c>
      <c r="C22" s="5" t="inlineStr">
        <is>
          <t>组串+阵列至MPPT</t>
        </is>
      </c>
      <c r="D22" s="6" t="n">
        <v>20</v>
      </c>
      <c r="E22" s="4" t="inlineStr">
        <is>
          <t>m</t>
        </is>
      </c>
      <c r="F22" s="7" t="n">
        <v>5</v>
      </c>
      <c r="G22" s="8">
        <f>D22*F22</f>
        <v/>
      </c>
      <c r="H22" s="9" t="inlineStr">
        <is>
          <t>电商 ¥4~6/m</t>
        </is>
      </c>
    </row>
    <row r="23">
      <c r="A23" s="4" t="inlineStr">
        <is>
          <t>线缆和接地</t>
        </is>
      </c>
      <c r="B23" s="5" t="inlineStr">
        <is>
          <t>RV 软线 10mm²</t>
        </is>
      </c>
      <c r="C23" s="5" t="inlineStr">
        <is>
          <t>MPPT→电池</t>
        </is>
      </c>
      <c r="D23" s="6" t="n">
        <v>3</v>
      </c>
      <c r="E23" s="4" t="inlineStr">
        <is>
          <t>m</t>
        </is>
      </c>
      <c r="F23" s="7" t="n">
        <v>14</v>
      </c>
      <c r="G23" s="8">
        <f>D23*F23</f>
        <v/>
      </c>
      <c r="H23" s="9" t="inlineStr">
        <is>
          <t>电商</t>
        </is>
      </c>
    </row>
    <row r="24">
      <c r="A24" s="4" t="inlineStr">
        <is>
          <t>线缆和接地</t>
        </is>
      </c>
      <c r="B24" s="5" t="inlineStr">
        <is>
          <t>RV 软线 70mm²</t>
        </is>
      </c>
      <c r="C24" s="5" t="inlineStr">
        <is>
          <t>电池→逆变器</t>
        </is>
      </c>
      <c r="D24" s="6" t="n">
        <v>2</v>
      </c>
      <c r="E24" s="4" t="inlineStr">
        <is>
          <t>m</t>
        </is>
      </c>
      <c r="F24" s="7" t="n">
        <v>65</v>
      </c>
      <c r="G24" s="8">
        <f>D24*F24</f>
        <v/>
      </c>
      <c r="H24" s="9" t="inlineStr">
        <is>
          <t>电商</t>
        </is>
      </c>
    </row>
    <row r="25">
      <c r="A25" s="4" t="inlineStr">
        <is>
          <t>线缆和接地</t>
        </is>
      </c>
      <c r="B25" s="5" t="inlineStr">
        <is>
          <t>RVV 软线 6mm²</t>
        </is>
      </c>
      <c r="C25" s="5" t="inlineStr">
        <is>
          <t>逆变→配电箱</t>
        </is>
      </c>
      <c r="D25" s="6" t="n">
        <v>5</v>
      </c>
      <c r="E25" s="4" t="inlineStr">
        <is>
          <t>m</t>
        </is>
      </c>
      <c r="F25" s="7" t="n">
        <v>10</v>
      </c>
      <c r="G25" s="8">
        <f>D25*F25</f>
        <v/>
      </c>
      <c r="H25" s="9" t="inlineStr">
        <is>
          <t>电商</t>
        </is>
      </c>
    </row>
    <row r="26">
      <c r="A26" s="4" t="inlineStr">
        <is>
          <t>线缆和接地</t>
        </is>
      </c>
      <c r="B26" s="5" t="inlineStr">
        <is>
          <t>BV 线 2.5mm²</t>
        </is>
      </c>
      <c r="C26" s="5" t="inlineStr">
        <is>
          <t>照明/插座</t>
        </is>
      </c>
      <c r="D26" s="6" t="n">
        <v>40</v>
      </c>
      <c r="E26" s="4" t="inlineStr">
        <is>
          <t>m</t>
        </is>
      </c>
      <c r="F26" s="7" t="n">
        <v>3.5</v>
      </c>
      <c r="G26" s="8">
        <f>D26*F26</f>
        <v/>
      </c>
      <c r="H26" s="9" t="inlineStr">
        <is>
          <t>电商</t>
        </is>
      </c>
    </row>
    <row r="27">
      <c r="A27" s="4" t="inlineStr">
        <is>
          <t>线缆和接地</t>
        </is>
      </c>
      <c r="B27" s="5" t="inlineStr">
        <is>
          <t>BV 线 4mm²</t>
        </is>
      </c>
      <c r="C27" s="5" t="inlineStr">
        <is>
          <t>厨房/空调</t>
        </is>
      </c>
      <c r="D27" s="6" t="n">
        <v>30</v>
      </c>
      <c r="E27" s="4" t="inlineStr">
        <is>
          <t>m</t>
        </is>
      </c>
      <c r="F27" s="7" t="n">
        <v>5.5</v>
      </c>
      <c r="G27" s="8">
        <f>D27*F27</f>
        <v/>
      </c>
      <c r="H27" s="9" t="inlineStr">
        <is>
          <t>电商</t>
        </is>
      </c>
    </row>
    <row r="28">
      <c r="A28" s="4" t="inlineStr">
        <is>
          <t>线缆和接地</t>
        </is>
      </c>
      <c r="B28" s="5" t="inlineStr">
        <is>
          <t>接地线 ≥6mm²</t>
        </is>
      </c>
      <c r="C28" s="5" t="inlineStr">
        <is>
          <t>PE/等电位</t>
        </is>
      </c>
      <c r="D28" s="6" t="n">
        <v>10</v>
      </c>
      <c r="E28" s="4" t="inlineStr">
        <is>
          <t>m</t>
        </is>
      </c>
      <c r="F28" s="7" t="n">
        <v>6</v>
      </c>
      <c r="G28" s="8">
        <f>D28*F28</f>
        <v/>
      </c>
      <c r="H28" s="9" t="inlineStr">
        <is>
          <t>电商</t>
        </is>
      </c>
    </row>
    <row r="29">
      <c r="A29" s="4" t="inlineStr">
        <is>
          <t>线缆和接地</t>
        </is>
      </c>
      <c r="B29" s="5" t="inlineStr">
        <is>
          <t>桥架/穿线管</t>
        </is>
      </c>
      <c r="C29" s="5" t="inlineStr">
        <is>
          <t>屋面→设备间+室内</t>
        </is>
      </c>
      <c r="D29" s="6" t="n">
        <v>1</v>
      </c>
      <c r="E29" s="4" t="inlineStr">
        <is>
          <t>套</t>
        </is>
      </c>
      <c r="F29" s="7" t="n">
        <v>350</v>
      </c>
      <c r="G29" s="8">
        <f>D29*F29</f>
        <v/>
      </c>
      <c r="H29" s="9" t="inlineStr">
        <is>
          <t>电商</t>
        </is>
      </c>
    </row>
    <row r="30">
      <c r="A30" s="4" t="inlineStr">
        <is>
          <t>安装辅材</t>
        </is>
      </c>
      <c r="B30" s="5" t="inlineStr">
        <is>
          <t>端子/标识/防水防火</t>
        </is>
      </c>
      <c r="C30" s="5" t="inlineStr">
        <is>
          <t>汇总</t>
        </is>
      </c>
      <c r="D30" s="6" t="n">
        <v>1</v>
      </c>
      <c r="E30" s="4" t="inlineStr">
        <is>
          <t>套</t>
        </is>
      </c>
      <c r="F30" s="7" t="n">
        <v>400</v>
      </c>
      <c r="G30" s="8">
        <f>D30*F30</f>
        <v/>
      </c>
      <c r="H30" s="9" t="inlineStr">
        <is>
          <t>估</t>
        </is>
      </c>
    </row>
    <row r="31">
      <c r="A31" s="10" t="n"/>
      <c r="B31" s="11" t="inlineStr">
        <is>
          <t>合计（系统初始投资）</t>
        </is>
      </c>
      <c r="C31" s="10" t="n"/>
      <c r="D31" s="10" t="n"/>
      <c r="E31" s="10" t="n"/>
      <c r="F31" s="10" t="n"/>
      <c r="G31" s="12">
        <f>SUM(G4:G30)</f>
        <v/>
      </c>
      <c r="H31" s="10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</cols>
  <sheetData>
    <row r="1">
      <c r="A1" s="1" t="inlineStr">
        <is>
          <t>成本分析（W11）</t>
        </is>
      </c>
    </row>
    <row r="3">
      <c r="A3" s="5" t="inlineStr">
        <is>
          <t>系统初始投资（¥）</t>
        </is>
      </c>
      <c r="B3" s="8">
        <f>设备清单!G31</f>
        <v/>
      </c>
      <c r="C3" s="13" t="inlineStr">
        <is>
          <t>设备清单合计</t>
        </is>
      </c>
    </row>
    <row r="4">
      <c r="A4" s="5" t="inlineStr">
        <is>
          <t>装机容量（kWp）</t>
        </is>
      </c>
      <c r="B4" s="14" t="n">
        <v>2.4</v>
      </c>
      <c r="C4" s="13" t="inlineStr">
        <is>
          <t>W5：4×600W</t>
        </is>
      </c>
    </row>
    <row r="5">
      <c r="A5" s="5" t="inlineStr">
        <is>
          <t>单位装机成本（¥/Wp）</t>
        </is>
      </c>
      <c r="B5" s="15">
        <f>B4/B5</f>
        <v/>
      </c>
      <c r="C5" s="13" t="inlineStr">
        <is>
          <t>总投资/装机容量</t>
        </is>
      </c>
    </row>
    <row r="6">
      <c r="A6" s="5" t="inlineStr">
        <is>
          <t>电池成本（¥）</t>
        </is>
      </c>
      <c r="B6" s="8">
        <f>SUMIF(设备清单!A:A,"蓄电池",设备清单!G:G)</f>
        <v/>
      </c>
      <c r="C6" s="13" t="inlineStr">
        <is>
          <t>4×BNP-5120BM+柜+母排</t>
        </is>
      </c>
    </row>
    <row r="7">
      <c r="A7" s="5" t="inlineStr">
        <is>
          <t>储能容量（kWh）</t>
        </is>
      </c>
      <c r="B7" s="14" t="n">
        <v>20.48</v>
      </c>
      <c r="C7" s="13" t="inlineStr">
        <is>
          <t>W4：4×5.12 kWh</t>
        </is>
      </c>
    </row>
    <row r="8">
      <c r="A8" s="5" t="inlineStr">
        <is>
          <t>单位储能成本（¥/kWh）</t>
        </is>
      </c>
      <c r="B8" s="8">
        <f>B7/B8</f>
        <v/>
      </c>
      <c r="C8" s="13" t="inlineStr">
        <is>
          <t>电池成本/储能容量</t>
        </is>
      </c>
    </row>
    <row r="11">
      <c r="A11" s="16" t="inlineStr">
        <is>
          <t>蓄电池配置比较（任务书 §4.8）</t>
        </is>
      </c>
    </row>
    <row r="12">
      <c r="A12" s="17" t="inlineStr">
        <is>
          <t>方案</t>
        </is>
      </c>
      <c r="B12" s="17" t="inlineStr">
        <is>
          <t>模块配置</t>
        </is>
      </c>
      <c r="C12" s="17" t="inlineStr">
        <is>
          <t>能量(kWh)</t>
        </is>
      </c>
      <c r="D12" s="17" t="inlineStr">
        <is>
          <t>电池成本(¥)</t>
        </is>
      </c>
      <c r="E12" s="17" t="inlineStr">
        <is>
          <t>支路</t>
        </is>
      </c>
      <c r="F12" s="17" t="inlineStr">
        <is>
          <t>备注</t>
        </is>
      </c>
    </row>
    <row r="13">
      <c r="A13" s="18" t="inlineStr">
        <is>
          <t>方案 A（采用）</t>
        </is>
      </c>
      <c r="B13" s="4" t="inlineStr">
        <is>
          <t>4×BNP-5120BM（100Ah）</t>
        </is>
      </c>
      <c r="C13" s="4" t="n">
        <v>20.48</v>
      </c>
      <c r="D13" s="4" t="n">
        <v>17000</v>
      </c>
      <c r="E13" s="4" t="n">
        <v>4</v>
      </c>
      <c r="F13" s="5" t="inlineStr">
        <is>
          <t>官方渠道；W5~W9 校核图纸均按此</t>
        </is>
      </c>
    </row>
    <row r="14">
      <c r="A14" s="19" t="inlineStr">
        <is>
          <t>方案 B（备选）</t>
        </is>
      </c>
      <c r="B14" s="4" t="inlineStr">
        <is>
          <t>2×51.2V/200Ah</t>
        </is>
      </c>
      <c r="C14" s="4" t="n">
        <v>20.48</v>
      </c>
      <c r="D14" s="4" t="n">
        <v>13000</v>
      </c>
      <c r="E14" s="4" t="n">
        <v>2</v>
      </c>
      <c r="F14" s="5" t="inlineStr">
        <is>
          <t>madeinchina $900/台≈¥6500；可省≈¥3000~4000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2026-09-03T12:38:56Z</dcterms:created>
  <dcterms:modified xmlns:dcterms="http://purl.org/dc/terms/" xmlns:xsi="http://www.w3.org/2001/XMLSchema-instance" xsi:type="dcterms:W3CDTF">2026-09-03T12:38:56Z</dcterms:modified>
</cp:coreProperties>
</file>