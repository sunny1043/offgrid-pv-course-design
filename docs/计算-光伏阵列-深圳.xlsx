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ameters" sheetId="1" r:id="rId1"/>
    <sheet name="Calc" sheetId="2" r:id="rId2"/>
    <sheet name="Check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PV array design inputs (Shenzhen W5)</t>
        </is>
      </c>
    </row>
    <row r="2">
      <c r="A2" t="inlineStr">
        <is>
          <t>Item</t>
        </is>
      </c>
      <c r="B2" t="inlineStr">
        <is>
          <t>Value</t>
        </is>
      </c>
      <c r="C2" t="inlineStr">
        <is>
          <t>Note</t>
        </is>
      </c>
    </row>
    <row r="3">
      <c r="A3" t="inlineStr">
        <is>
          <t>E_AC (kWh/d)</t>
        </is>
      </c>
      <c r="B3">
        <v>6.99</v>
      </c>
      <c r="C3" t="inlineStr">
        <is>
          <t>W1 load survey</t>
        </is>
      </c>
    </row>
    <row r="4">
      <c r="A4" t="inlineStr">
        <is>
          <t>K_PV</t>
        </is>
      </c>
      <c r="B4">
        <v>1.1</v>
      </c>
      <c r="C4" t="inlineStr">
        <is>
          <t>capacity reserve factor</t>
        </is>
      </c>
    </row>
    <row r="5">
      <c r="A5" t="inlineStr">
        <is>
          <t>H_tilt (h/d)</t>
        </is>
      </c>
      <c r="B5">
        <v>4.46</v>
      </c>
      <c r="C5" t="inlineStr">
        <is>
          <t>Oct 20deg tilt, W2</t>
        </is>
      </c>
    </row>
    <row r="6">
      <c r="A6" t="inlineStr">
        <is>
          <t>eta_path</t>
        </is>
      </c>
      <c r="B6">
        <v>0.77</v>
      </c>
      <c r="C6" t="inlineStr">
        <is>
          <t>W3 combined efficiency</t>
        </is>
      </c>
    </row>
    <row r="7">
      <c r="A7" t="inlineStr">
        <is>
          <t>T_min (C)</t>
        </is>
      </c>
      <c r="B7">
        <v>0.2</v>
      </c>
      <c r="C7" t="inlineStr">
        <is>
          <t>W2 extreme min temp</t>
        </is>
      </c>
    </row>
    <row r="8">
      <c r="A8" t="inlineStr">
        <is>
          <t>T_cell_hot (C)</t>
        </is>
      </c>
      <c r="B8">
        <v>61</v>
      </c>
      <c r="C8" t="inlineStr">
        <is>
          <t>W2 normal hot month</t>
        </is>
      </c>
    </row>
    <row r="9">
      <c r="A9" t="inlineStr">
        <is>
          <t>T_cell_extreme (C)</t>
        </is>
      </c>
      <c r="B9">
        <v>70</v>
      </c>
      <c r="C9" t="inlineStr">
        <is>
          <t>W2 extreme case</t>
        </is>
      </c>
    </row>
    <row r="10">
      <c r="A10" t="inlineStr">
        <is>
          <t>P_mpp (W)</t>
        </is>
      </c>
      <c r="B10">
        <v>600</v>
      </c>
      <c r="C10" t="inlineStr">
        <is>
          <t>LONGi LR7-72HGD-600M</t>
        </is>
      </c>
    </row>
    <row r="11">
      <c r="A11" t="inlineStr">
        <is>
          <t>Voc_STC (V)</t>
        </is>
      </c>
      <c r="B11">
        <v>52.22</v>
      </c>
      <c r="C11" t="inlineStr">
        <is>
          <t>module spec</t>
        </is>
      </c>
    </row>
    <row r="12">
      <c r="A12" t="inlineStr">
        <is>
          <t>Vmp_STC (V)</t>
        </is>
      </c>
      <c r="B12">
        <v>44.12</v>
      </c>
      <c r="C12" t="inlineStr">
        <is>
          <t>module spec</t>
        </is>
      </c>
    </row>
    <row r="13">
      <c r="A13" t="inlineStr">
        <is>
          <t>Isc_STC (A)</t>
        </is>
      </c>
      <c r="B13">
        <v>14.49</v>
      </c>
      <c r="C13" t="inlineStr">
        <is>
          <t>module spec</t>
        </is>
      </c>
    </row>
    <row r="14">
      <c r="A14" t="inlineStr">
        <is>
          <t>Imp_STC (A)</t>
        </is>
      </c>
      <c r="B14">
        <v>13.6</v>
      </c>
      <c r="C14" t="inlineStr">
        <is>
          <t>module spec</t>
        </is>
      </c>
    </row>
    <row r="15">
      <c r="A15" t="inlineStr">
        <is>
          <t>bVoc (1/C)</t>
        </is>
      </c>
      <c r="B15">
        <v>-0.0023</v>
      </c>
      <c r="C15" t="inlineStr">
        <is>
          <t>module temp coeff</t>
        </is>
      </c>
    </row>
    <row r="16">
      <c r="A16" t="inlineStr">
        <is>
          <t>bVmp (1/C)</t>
        </is>
      </c>
      <c r="B16">
        <v>-0.0028</v>
      </c>
      <c r="C16" t="inlineStr">
        <is>
          <t>approx from Pmax coeff</t>
        </is>
      </c>
    </row>
    <row r="17">
      <c r="A17" t="inlineStr">
        <is>
          <t>NOCT (C)</t>
        </is>
      </c>
      <c r="B17">
        <v>45</v>
      </c>
      <c r="C17" t="inlineStr">
        <is>
          <t>module spec</t>
        </is>
      </c>
    </row>
    <row r="18">
      <c r="A18" t="inlineStr">
        <is>
          <t>V_mppt_min (V)</t>
        </is>
      </c>
      <c r="B18">
        <v>120</v>
      </c>
      <c r="C18" t="inlineStr">
        <is>
          <t>Growatt SPF5000ES (W6)</t>
        </is>
      </c>
    </row>
    <row r="19">
      <c r="A19" t="inlineStr">
        <is>
          <t>V_mppt_max (V)</t>
        </is>
      </c>
      <c r="B19">
        <v>430</v>
      </c>
      <c r="C19" t="inlineStr">
        <is>
          <t>Growatt SPF5000ES (W6)</t>
        </is>
      </c>
    </row>
    <row r="20">
      <c r="A20" t="inlineStr">
        <is>
          <t>V_ctrl_max (V)</t>
        </is>
      </c>
      <c r="B20">
        <v>450</v>
      </c>
      <c r="C20" t="inlineStr">
        <is>
          <t>max PV input (W6)</t>
        </is>
      </c>
    </row>
    <row r="21">
      <c r="A21" t="inlineStr">
        <is>
          <t>P_ctrl_max (W)</t>
        </is>
      </c>
      <c r="B21">
        <v>6000</v>
      </c>
      <c r="C21" t="inlineStr">
        <is>
          <t>max PV input power</t>
        </is>
      </c>
    </row>
    <row r="22">
      <c r="A22" t="inlineStr">
        <is>
          <t>I_sc_limit (A)</t>
        </is>
      </c>
      <c r="B22">
        <v>15</v>
      </c>
      <c r="C22" t="inlineStr">
        <is>
          <t>per MPPT Isc limit (W6)</t>
        </is>
      </c>
    </row>
    <row r="23">
      <c r="A23" t="inlineStr">
        <is>
          <t>eta_MPPT</t>
        </is>
      </c>
      <c r="B23">
        <v>0.96</v>
      </c>
      <c r="C23" t="inlineStr">
        <is>
          <t>W3 efficiency</t>
        </is>
      </c>
    </row>
    <row r="24">
      <c r="A24" t="inlineStr">
        <is>
          <t>V_bat_chg (V)</t>
        </is>
      </c>
      <c r="B24">
        <v>54.4</v>
      </c>
      <c r="C24" t="inlineStr">
        <is>
          <t>W4 battery charging voltage</t>
        </is>
      </c>
    </row>
    <row r="25">
      <c r="A25" t="inlineStr">
        <is>
          <t>I_ctrl_out_max (A)</t>
        </is>
      </c>
      <c r="B25">
        <v>100</v>
      </c>
      <c r="C25" t="inlineStr">
        <is>
          <t>MPPT output limit (W6)</t>
        </is>
      </c>
    </row>
    <row r="26">
      <c r="A26" t="inlineStr">
        <is>
          <t>I_bat_chg_limit (A)</t>
        </is>
      </c>
      <c r="B26">
        <v>200</v>
      </c>
      <c r="C26" t="inlineStr">
        <is>
          <t>W4 4x50A</t>
        </is>
      </c>
    </row>
    <row r="27">
      <c r="A27" t="inlineStr">
        <is>
          <t>Ns_choice</t>
        </is>
      </c>
      <c r="B27">
        <v>4</v>
      </c>
      <c r="C27" t="inlineStr">
        <is>
          <t>series modules per string</t>
        </is>
      </c>
    </row>
    <row r="28">
      <c r="A28" t="inlineStr">
        <is>
          <t>Np_choice</t>
        </is>
      </c>
      <c r="B28">
        <v>1</v>
      </c>
      <c r="C28" t="inlineStr">
        <is>
          <t>parallel strings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PV array capacity calc and checks (Shenzhen W5, auto)</t>
        </is>
      </c>
    </row>
    <row r="2">
      <c r="A2" t="inlineStr">
        <is>
          <t>Item</t>
        </is>
      </c>
      <c r="B2" t="inlineStr">
        <is>
          <t>Formula/Value</t>
        </is>
      </c>
      <c r="C2" t="inlineStr">
        <is>
          <t>Note</t>
        </is>
      </c>
    </row>
    <row r="3">
      <c r="A3" t="inlineStr">
        <is>
          <t>P_PV,min (kWp)</t>
        </is>
      </c>
      <c r="B3">
        <f>='Parameters'!B3*'Parameters'!B4/('Parameters'!B5*'Parameters'!B6)</f>
      </c>
      <c r="C3" t="inlineStr">
        <is>
          <t>E_AC*K_PV/(H_tilt*eta_path)</t>
        </is>
      </c>
    </row>
    <row r="4">
      <c r="A4" t="inlineStr">
        <is>
          <t>Voc,cold (V)</t>
        </is>
      </c>
      <c r="B4">
        <f>='Parameters'!B11*(1+'Parameters'!B15*('Parameters'!B7-25))</f>
      </c>
      <c r="C4" t="inlineStr">
        <is>
          <t>per module</t>
        </is>
      </c>
    </row>
    <row r="5">
      <c r="A5" t="inlineStr">
        <is>
          <t>Vmp,hot61 (V)</t>
        </is>
      </c>
      <c r="B5">
        <f>='Parameters'!B12*(1+'Parameters'!B16*('Parameters'!B8-25))</f>
      </c>
      <c r="C5" t="inlineStr">
        <is>
          <t>per module</t>
        </is>
      </c>
    </row>
    <row r="6">
      <c r="A6" t="inlineStr">
        <is>
          <t>Vmp,hot70 (V)</t>
        </is>
      </c>
      <c r="B6">
        <f>='Parameters'!B12*(1+'Parameters'!B16*('Parameters'!B9-25))</f>
      </c>
      <c r="C6" t="inlineStr">
        <is>
          <t>per module</t>
        </is>
      </c>
    </row>
    <row r="7">
      <c r="A7" t="inlineStr">
        <is>
          <t>Vmp,cold (V)</t>
        </is>
      </c>
      <c r="B7">
        <f>='Parameters'!B12*(1+'Parameters'!B16*('Parameters'!B7-25))</f>
      </c>
      <c r="C7" t="inlineStr">
        <is>
          <t>per module</t>
        </is>
      </c>
    </row>
    <row r="8">
      <c r="A8" t="inlineStr">
        <is>
          <t>Ns_min</t>
        </is>
      </c>
      <c r="B8">
        <f>=CEILING('Parameters'!B18/B6,1)</f>
      </c>
      <c r="C8" t="inlineStr">
        <is>
          <t>ceil(Vmppt_min/Vmp,hot70)</t>
        </is>
      </c>
    </row>
    <row r="9">
      <c r="A9" t="inlineStr">
        <is>
          <t>Ns_max</t>
        </is>
      </c>
      <c r="B9">
        <f>=FLOOR('Parameters'!B20/B4,1)</f>
      </c>
      <c r="C9" t="inlineStr">
        <is>
          <t>floor(Vctrl_max/Voc,cold)</t>
        </is>
      </c>
    </row>
    <row r="10">
      <c r="A10" t="inlineStr">
        <is>
          <t>Ns_choice</t>
        </is>
      </c>
      <c r="B10">
        <f>='Parameters'!B27</f>
      </c>
      <c r="C10" t="inlineStr">
        <is>
          <t>chosen series count</t>
        </is>
      </c>
    </row>
    <row r="11">
      <c r="A11" t="inlineStr">
        <is>
          <t>Np_choice</t>
        </is>
      </c>
      <c r="B11">
        <f>='Parameters'!B28</f>
      </c>
      <c r="C11" t="inlineStr">
        <is>
          <t>chosen parallel count</t>
        </is>
      </c>
    </row>
    <row r="12">
      <c r="A12" t="inlineStr">
        <is>
          <t>P_inst (kWp)</t>
        </is>
      </c>
      <c r="B12">
        <f>=B10*B11*'Parameters'!B10/1000</f>
      </c>
      <c r="C12" t="inlineStr">
        <is>
          <t>installed capacity</t>
        </is>
      </c>
    </row>
    <row r="13">
      <c r="A13" t="inlineStr">
        <is>
          <t>Voc,cold string (V)</t>
        </is>
      </c>
      <c r="B13">
        <f>=B4*B10</f>
      </c>
      <c r="C13" t="inlineStr">
        <is>
          <t>string low-temp Voc</t>
        </is>
      </c>
    </row>
    <row r="14">
      <c r="A14" t="inlineStr">
        <is>
          <t>Vmp,hot string 61C (V)</t>
        </is>
      </c>
      <c r="B14">
        <f>=B5*B10</f>
      </c>
      <c r="C14" t="inlineStr">
        <is>
          <t>string MPPT V 61C</t>
        </is>
      </c>
    </row>
    <row r="15">
      <c r="A15" t="inlineStr">
        <is>
          <t>Vmp,hot string 70C (V)</t>
        </is>
      </c>
      <c r="B15">
        <f>=B6*B10</f>
      </c>
      <c r="C15" t="inlineStr">
        <is>
          <t>string MPPT V 70C</t>
        </is>
      </c>
    </row>
    <row r="16">
      <c r="A16" t="inlineStr">
        <is>
          <t>Vmp,cold string (V)</t>
        </is>
      </c>
      <c r="B16">
        <f>=B7*B10</f>
      </c>
      <c r="C16" t="inlineStr">
        <is>
          <t>string MPPT V low temp</t>
        </is>
      </c>
    </row>
    <row r="17">
      <c r="A17" t="inlineStr">
        <is>
          <t>I_mpp,array (A)</t>
        </is>
      </c>
      <c r="B17">
        <f>='Parameters'!B14*B11</f>
      </c>
      <c r="C17" t="inlineStr">
        <is>
          <t>array operating current</t>
        </is>
      </c>
    </row>
    <row r="18">
      <c r="A18" t="inlineStr">
        <is>
          <t>I_sc,array (A)</t>
        </is>
      </c>
      <c r="B18">
        <f>='Parameters'!B13*B11</f>
      </c>
      <c r="C18" t="inlineStr">
        <is>
          <t>array short circuit current</t>
        </is>
      </c>
    </row>
    <row r="19">
      <c r="A19" t="inlineStr">
        <is>
          <t>I_chg (A)</t>
        </is>
      </c>
      <c r="B19">
        <f>=MIN(B12*1000*'Parameters'!B23/'Parameters'!B24,'Parameters'!B25)</f>
      </c>
      <c r="C19" t="inlineStr">
        <is>
          <t>backfill W4 charge current</t>
        </is>
      </c>
    </row>
    <row r="20">
      <c r="A20" t="inlineStr">
        <is>
          <t>Check1: Voc,cold string &lt;= Vctrl_max</t>
        </is>
      </c>
      <c r="B20">
        <f>=IF(B13&lt;='Parameters'!B20,'OK','FAIL')</f>
      </c>
      <c r="C20" t="inlineStr">
        <is>
          <t/>
        </is>
      </c>
    </row>
    <row r="21">
      <c r="A21" t="inlineStr">
        <is>
          <t>Check2: Voc,cold string &lt;= Vmppt_max</t>
        </is>
      </c>
      <c r="B21">
        <f>=IF(B13&lt;='Parameters'!B19,'OK','FAIL')</f>
      </c>
      <c r="C21" t="inlineStr">
        <is>
          <t/>
        </is>
      </c>
    </row>
    <row r="22">
      <c r="A22" t="inlineStr">
        <is>
          <t>Check3: Vmp,hot string 70C &gt;= Vmppt_min</t>
        </is>
      </c>
      <c r="B22">
        <f>=IF(B15&gt;='Parameters'!B18,'OK','FAIL')</f>
      </c>
      <c r="C22" t="inlineStr">
        <is>
          <t/>
        </is>
      </c>
    </row>
    <row r="23">
      <c r="A23" t="inlineStr">
        <is>
          <t>Check4: Vmp,cold string &lt;= Vmppt_max</t>
        </is>
      </c>
      <c r="B23">
        <f>=IF(B16&lt;='Parameters'!B19,'OK','FAIL')</f>
      </c>
      <c r="C23" t="inlineStr">
        <is>
          <t/>
        </is>
      </c>
    </row>
    <row r="24">
      <c r="A24" t="inlineStr">
        <is>
          <t>Check5 I_sc,array&lt;=limit</t>
        </is>
      </c>
      <c r="B24">
        <f>=IF(B18&lt;='Parameters'!B22,'OK','FAIL')</f>
      </c>
      <c r="C24" t="inlineStr">
        <is>
          <t/>
        </is>
      </c>
    </row>
    <row r="25">
      <c r="A25" t="inlineStr">
        <is>
          <t>Check6 Pin&lt;=P_ctrl_max</t>
        </is>
      </c>
      <c r="B25">
        <f>=IF(B12*1000&lt;='Parameters'!B21,'OK','FAIL')</f>
      </c>
      <c r="C25" t="inlineStr">
        <is>
          <t/>
        </is>
      </c>
    </row>
    <row r="26">
      <c r="A26" t="inlineStr">
        <is>
          <t>Check7 I_chg&lt;=I_bat_limit</t>
        </is>
      </c>
      <c r="B26">
        <f>=IF(B19&lt;='Parameters'!B26,'OK','FAIL')</f>
      </c>
      <c r="C26" t="inlineStr">
        <is>
          <t/>
        </is>
      </c>
    </row>
    <row r="28">
      <c r="A28" t="inlineStr">
        <is>
          <t>Monthly energy check (P_PV=B11 kWp, eta_path=Parameters!B6)</t>
        </is>
      </c>
    </row>
    <row r="29">
      <c r="A29" t="inlineStr">
        <is>
          <t>Month</t>
        </is>
      </c>
      <c r="B29" t="inlineStr">
        <is>
          <t>H_tilt(m)</t>
        </is>
      </c>
      <c r="C29" t="inlineStr">
        <is>
          <t>EPV(kWh/d)</t>
        </is>
      </c>
      <c r="D29" t="inlineStr">
        <is>
          <t>E_AC(kWh/d)</t>
        </is>
      </c>
      <c r="E29" t="inlineStr">
        <is>
          <t>Ratio</t>
        </is>
      </c>
      <c r="F29" t="inlineStr">
        <is>
          <t>Result</t>
        </is>
      </c>
    </row>
    <row r="30">
      <c r="A30">
        <v>1</v>
      </c>
      <c r="B30">
        <v>3.44</v>
      </c>
      <c r="C30">
        <f>=$B$12*B30*'Parameters'!$B$6</f>
      </c>
      <c r="D30">
        <v>3.61</v>
      </c>
      <c r="E30">
        <f>=IF(D30=0,0,C30/D30)</f>
      </c>
      <c r="F30">
        <f>=IF(C30&gt;=D30,'OK','FAIL')</f>
      </c>
    </row>
    <row r="31">
      <c r="A31">
        <v>2</v>
      </c>
      <c r="B31">
        <v>3.74</v>
      </c>
      <c r="C31">
        <f>=$B$12*B31*'Parameters'!$B$6</f>
      </c>
      <c r="D31">
        <v>3.61</v>
      </c>
      <c r="E31">
        <f>=IF(D31=0,0,C31/D31)</f>
      </c>
      <c r="F31">
        <f>=IF(C31&gt;=D31,'OK','FAIL')</f>
      </c>
    </row>
    <row r="32">
      <c r="A32">
        <v>3</v>
      </c>
      <c r="B32">
        <v>3.96</v>
      </c>
      <c r="C32">
        <f>=$B$12*B32*'Parameters'!$B$6</f>
      </c>
      <c r="D32">
        <v>3.61</v>
      </c>
      <c r="E32">
        <f>=IF(D32=0,0,C32/D32)</f>
      </c>
      <c r="F32">
        <f>=IF(C32&gt;=D32,'OK','FAIL')</f>
      </c>
    </row>
    <row r="33">
      <c r="A33">
        <v>4</v>
      </c>
      <c r="B33">
        <v>4.55</v>
      </c>
      <c r="C33">
        <f>=$B$12*B33*'Parameters'!$B$6</f>
      </c>
      <c r="D33">
        <v>3.61</v>
      </c>
      <c r="E33">
        <f>=IF(D33=0,0,C33/D33)</f>
      </c>
      <c r="F33">
        <f>=IF(C33&gt;=D33,'OK','FAIL')</f>
      </c>
    </row>
    <row r="34">
      <c r="A34">
        <v>5</v>
      </c>
      <c r="B34">
        <v>4.78</v>
      </c>
      <c r="C34">
        <f>=$B$12*B34*'Parameters'!$B$6</f>
      </c>
      <c r="D34">
        <v>6.99</v>
      </c>
      <c r="E34">
        <f>=IF(D34=0,0,C34/D34)</f>
      </c>
      <c r="F34">
        <f>=IF(C34&gt;=D34,'OK','FAIL')</f>
      </c>
    </row>
    <row r="35">
      <c r="A35">
        <v>6</v>
      </c>
      <c r="B35">
        <v>5.15</v>
      </c>
      <c r="C35">
        <f>=$B$12*B35*'Parameters'!$B$6</f>
      </c>
      <c r="D35">
        <v>6.99</v>
      </c>
      <c r="E35">
        <f>=IF(D35=0,0,C35/D35)</f>
      </c>
      <c r="F35">
        <f>=IF(C35&gt;=D35,'OK','FAIL')</f>
      </c>
    </row>
    <row r="36">
      <c r="A36">
        <v>7</v>
      </c>
      <c r="B36">
        <v>5.88</v>
      </c>
      <c r="C36">
        <f>=$B$12*B36*'Parameters'!$B$6</f>
      </c>
      <c r="D36">
        <v>6.99</v>
      </c>
      <c r="E36">
        <f>=IF(D36=0,0,C36/D36)</f>
      </c>
      <c r="F36">
        <f>=IF(C36&gt;=D36,'OK','FAIL')</f>
      </c>
    </row>
    <row r="37">
      <c r="A37">
        <v>8</v>
      </c>
      <c r="B37">
        <v>5.19</v>
      </c>
      <c r="C37">
        <f>=$B$12*B37*'Parameters'!$B$6</f>
      </c>
      <c r="D37">
        <v>6.99</v>
      </c>
      <c r="E37">
        <f>=IF(D37=0,0,C37/D37)</f>
      </c>
      <c r="F37">
        <f>=IF(C37&gt;=D37,'OK','FAIL')</f>
      </c>
    </row>
    <row r="38">
      <c r="A38">
        <v>9</v>
      </c>
      <c r="B38">
        <v>5.29</v>
      </c>
      <c r="C38">
        <f>=$B$12*B38*'Parameters'!$B$6</f>
      </c>
      <c r="D38">
        <v>6.99</v>
      </c>
      <c r="E38">
        <f>=IF(D38=0,0,C38/D38)</f>
      </c>
      <c r="F38">
        <f>=IF(C38&gt;=D38,'OK','FAIL')</f>
      </c>
    </row>
    <row r="39">
      <c r="A39">
        <v>10</v>
      </c>
      <c r="B39">
        <v>4.46</v>
      </c>
      <c r="C39">
        <f>=$B$12*B39*'Parameters'!$B$6</f>
      </c>
      <c r="D39">
        <v>6.99</v>
      </c>
      <c r="E39">
        <f>=IF(D39=0,0,C39/D39)</f>
      </c>
      <c r="F39">
        <f>=IF(C39&gt;=D39,'OK','FAIL')</f>
      </c>
    </row>
    <row r="40">
      <c r="A40">
        <v>11</v>
      </c>
      <c r="B40">
        <v>4.12</v>
      </c>
      <c r="C40">
        <f>=$B$12*B40*'Parameters'!$B$6</f>
      </c>
      <c r="D40">
        <v>3.61</v>
      </c>
      <c r="E40">
        <f>=IF(D40=0,0,C40/D40)</f>
      </c>
      <c r="F40">
        <f>=IF(C40&gt;=D40,'OK','FAIL')</f>
      </c>
    </row>
    <row r="41">
      <c r="A41">
        <v>12</v>
      </c>
      <c r="B41">
        <v>3.44</v>
      </c>
      <c r="C41">
        <f>=$B$12*B41*'Parameters'!$B$6</f>
      </c>
      <c r="D41">
        <v>3.61</v>
      </c>
      <c r="E41">
        <f>=IF(D41=0,0,C41/D41)</f>
      </c>
      <c r="F41">
        <f>=IF(C41&gt;=D41,'OK','FAIL')</f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PV array design check summary (Shenzhen W5)</t>
        </is>
      </c>
    </row>
    <row r="2">
      <c r="A2" t="inlineStr">
        <is>
          <t>Item</t>
        </is>
      </c>
      <c r="B2" t="inlineStr">
        <is>
          <t>Calc</t>
        </is>
      </c>
      <c r="C2" t="inlineStr">
        <is>
          <t>Allowed</t>
        </is>
      </c>
      <c r="D2" t="inlineStr">
        <is>
          <t>Result</t>
        </is>
      </c>
    </row>
    <row r="3">
      <c r="A3" t="inlineStr">
        <is>
          <t>Required capacity (kWp)</t>
        </is>
      </c>
      <c r="B3">
        <f>='Calc'!B3</f>
      </c>
      <c r="C3" t="inlineStr">
        <is>
          <t>-</t>
        </is>
      </c>
      <c r="D3" t="inlineStr">
        <is>
          <t>-</t>
        </is>
      </c>
    </row>
    <row r="4">
      <c r="A4" t="inlineStr">
        <is>
          <t>Module model / power</t>
        </is>
      </c>
      <c r="B4" t="inlineStr">
        <is>
          <t>LONGi LR7-72HGD-600M x4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Low-temp Voc string (V)</t>
        </is>
      </c>
      <c r="B5">
        <f>='Calc'!B13</f>
      </c>
      <c r="C5" t="inlineStr">
        <is>
          <t>&lt;=450</t>
        </is>
      </c>
      <c r="D5">
        <f>=IF(B5&lt;='Parameters'!B20,'OK','FAIL')</f>
      </c>
    </row>
    <row r="6">
      <c r="A6" t="inlineStr">
        <is>
          <t>Low-temp Voc string (V)</t>
        </is>
      </c>
      <c r="B6">
        <f>='Calc'!B13</f>
      </c>
      <c r="C6" t="inlineStr">
        <is>
          <t>&lt;=430 MPPT max</t>
        </is>
      </c>
      <c r="D6">
        <f>=IF(B6&lt;='Parameters'!B19,'OK','FAIL')</f>
      </c>
    </row>
    <row r="7">
      <c r="A7" t="inlineStr">
        <is>
          <t>Hot MPPT V string 70C (V)</t>
        </is>
      </c>
      <c r="B7">
        <f>='Calc'!B15</f>
      </c>
      <c r="C7" t="inlineStr">
        <is>
          <t>&gt;=120</t>
        </is>
      </c>
      <c r="D7">
        <f>=IF(B7&gt;='Parameters'!B18,'OK','FAIL')</f>
      </c>
    </row>
    <row r="8">
      <c r="A8" t="inlineStr">
        <is>
          <t>Cold MPPT V string (V)</t>
        </is>
      </c>
      <c r="B8">
        <f>='Calc'!B16</f>
      </c>
      <c r="C8" t="inlineStr">
        <is>
          <t>&lt;=430</t>
        </is>
      </c>
      <c r="D8">
        <f>=IF(B8&lt;='Parameters'!B19,'OK','FAIL')</f>
      </c>
    </row>
    <row r="9">
      <c r="A9" t="inlineStr">
        <is>
          <t>Modules per string</t>
        </is>
      </c>
      <c r="B9">
        <f>='Calc'!B10</f>
      </c>
      <c r="C9" t="inlineStr">
        <is>
          <t>[4,8]</t>
        </is>
      </c>
      <c r="D9">
        <f>=IF(AND(B9&gt;='Calc'!B8,B9&lt;='Calc'!B9),'OK','FAIL')</f>
      </c>
    </row>
    <row r="10">
      <c r="A10" t="inlineStr">
        <is>
          <t>Parallel strings</t>
        </is>
      </c>
      <c r="B10">
        <f>='Calc'!B11</f>
      </c>
      <c r="C10" t="inlineStr">
        <is>
          <t>-</t>
        </is>
      </c>
      <c r="D10" t="inlineStr">
        <is>
          <t>-</t>
        </is>
      </c>
    </row>
    <row r="11">
      <c r="A11" t="inlineStr">
        <is>
          <t>Installed capacity (kWp)</t>
        </is>
      </c>
      <c r="B11">
        <f>='Calc'!B12</f>
      </c>
      <c r="C11" t="inlineStr">
        <is>
          <t>&lt;=6.0kW</t>
        </is>
      </c>
      <c r="D11">
        <f>=IF(B11*1000&lt;='Parameters'!B21,'OK','FAIL')</f>
      </c>
    </row>
    <row r="12">
      <c r="A12" t="inlineStr">
        <is>
          <t>Array Imp (A)</t>
        </is>
      </c>
      <c r="B12">
        <f>='Calc'!B17</f>
      </c>
      <c r="C12" t="inlineStr">
        <is>
          <t>&lt;=per-MPPT</t>
        </is>
      </c>
      <c r="D12">
        <f>=IF(B12&lt;='Parameters'!B22,'OK','FAIL')</f>
      </c>
    </row>
    <row r="13">
      <c r="A13" t="inlineStr">
        <is>
          <t>Array Isc (A)</t>
        </is>
      </c>
      <c r="B13">
        <f>='Calc'!B18</f>
      </c>
      <c r="C13" t="inlineStr">
        <is>
          <t>&lt;=per-MPPT</t>
        </is>
      </c>
      <c r="D13">
        <f>=IF(B13&lt;='Parameters'!B22,'OK','FAIL')</f>
      </c>
    </row>
    <row r="14">
      <c r="A14" t="inlineStr">
        <is>
          <t>I_chg backfill W4 (A)</t>
        </is>
      </c>
      <c r="B14">
        <f>='Calc'!B19</f>
      </c>
      <c r="C14" t="inlineStr">
        <is>
          <t>&lt;=200 (4x50A)</t>
        </is>
      </c>
      <c r="D14">
        <f>=IF(B14&lt;='Parameters'!B26,'OK','FAIL')</f>
      </c>
    </row>
  </sheetData>
</worksheet>
</file>